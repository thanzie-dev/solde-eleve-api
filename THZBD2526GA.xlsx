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SoldeEleve\"/>
    </mc:Choice>
  </mc:AlternateContent>
  <xr:revisionPtr revIDLastSave="0" documentId="13_ncr:1_{A06773B1-274D-4B0E-B305-C9FFB1FBE227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BDFIP2526 (2)" sheetId="3" r:id="rId1"/>
  </sheets>
  <externalReferences>
    <externalReference r:id="rId2"/>
  </externalReferences>
  <definedNames>
    <definedName name="_xlnm._FilterDatabase" localSheetId="0" hidden="1">'BDFIP2526 (2)'!$B$6:$B$7</definedName>
    <definedName name="CLadrs" localSheetId="0">[1]!THZBD25[[#All],[ADRESSE]]</definedName>
    <definedName name="CLadrs">[1]!THZBD25[[#All],[ADRESSE]]</definedName>
    <definedName name="Clards1" localSheetId="0">[1]!THZBD25[[#All],[ADRESSE]]</definedName>
    <definedName name="Clards1">[1]!THZBD25[[#All],[ADRESSE]]</definedName>
    <definedName name="CLclss" localSheetId="0">[1]!THZBD25[[#All],[ClASSE]]</definedName>
    <definedName name="CLclss">[1]!THZBD25[[#All],[ClASSE]]</definedName>
    <definedName name="CLct" localSheetId="0">[1]!THZBD25[[#All],[CATEGORIE]]</definedName>
    <definedName name="CLct">[1]!THZBD25[[#All],[CATEGORIE]]</definedName>
    <definedName name="CLdt" localSheetId="0">[1]!THZBD25[[#All],[DATE]]</definedName>
    <definedName name="CLdt">[1]!THZBD25[[#All],[DATE]]</definedName>
    <definedName name="CLff" localSheetId="0">[1]!THZBD25[[#Headers],[FF]]</definedName>
    <definedName name="CLff">[1]!THZBD25[[#Headers],[FF]]</definedName>
    <definedName name="CLfip" localSheetId="0">[1]!THZBD25[[#All],[FIP]]</definedName>
    <definedName name="CLfip">[1]!THZBD25[[#All],[FIP]]</definedName>
    <definedName name="CLjrs" localSheetId="0">[1]!THZBD25[[#All],[JOUR]]</definedName>
    <definedName name="CLjrs">[1]!THZBD25[[#All],[JOUR]]</definedName>
    <definedName name="CLldtnss" localSheetId="0">[1]!THZBD25[[#All],[Lieu et DNSS]]</definedName>
    <definedName name="CLldtnss">[1]!THZBD25[[#All],[Lieu et DNSS]]</definedName>
    <definedName name="CLmat" localSheetId="0">[1]!THZBD25[[#All],[MAT]]</definedName>
    <definedName name="CLmat">[1]!THZBD25[[#All],[MAT]]</definedName>
    <definedName name="CLmois" localSheetId="0">[1]!THZBD25[[#All],[MOIS]]</definedName>
    <definedName name="CLmois">[1]!THZBD25[[#All],[MOIS]]</definedName>
    <definedName name="CLnmRec" localSheetId="0">[1]!THZBD25[[#All],[NUM RECU]]</definedName>
    <definedName name="CLnmRec">[1]!THZBD25[[#All],[NUM RECU]]</definedName>
    <definedName name="CLnom" localSheetId="0">[1]!THZBD25[[#All],[NOM   ]]</definedName>
    <definedName name="CLnom">[1]!THZBD25[[#All],[NOM   ]]</definedName>
    <definedName name="CLobs" localSheetId="0">[1]!THZBD25[[#All],[OBS]]</definedName>
    <definedName name="CLobs">[1]!THZBD25[[#All],[OBS]]</definedName>
    <definedName name="CLresp" localSheetId="0">[1]!THZBD25[[#All],[RESPO &amp; Fonction]]</definedName>
    <definedName name="CLresp">[1]!THZBD25[[#All],[RESPO &amp; Fonction]]</definedName>
    <definedName name="CLSect" localSheetId="0">[1]!THZBD25[[#All],[SECTION]]</definedName>
    <definedName name="CLSect">[1]!THZBD25[[#All],[SECTION]]</definedName>
    <definedName name="CLsex" localSheetId="0">[1]!THZBD25[[#All],[SEXE]]</definedName>
    <definedName name="CLsex">[1]!THZBD25[[#All],[SEXE]]</definedName>
    <definedName name="CLtel" localSheetId="0">[1]!THZBD25[[#All],[TELEPHONE]]</definedName>
    <definedName name="CLtel">[1]!THZBD25[[#All],[TELEPHONE]]</definedName>
    <definedName name="ELIECORRECTION" localSheetId="0">[1]!THZBD25[[#All],[ClASSE]]</definedName>
    <definedName name="ELIECORRECTION">[1]!THZBD25[[#All],[ClASSE]]</definedName>
    <definedName name="LisrClasse">[1]PARAMETTRE!$P$6:$P$44</definedName>
    <definedName name="ListAdress2024">[1]THZBD24!$N$8:$N$3070</definedName>
    <definedName name="ListBD" localSheetId="0">'BDFIP2526 (2)'!$D$9:$S$993</definedName>
    <definedName name="ListBD">[1]BESS!$D$11:$P$1427</definedName>
    <definedName name="ListCat2024">[1]THZBD24!$F$9:$F$3070</definedName>
    <definedName name="ListCateg2023" localSheetId="0">[1]!TBCategorie[CATEGORIE]</definedName>
    <definedName name="ListCateg2023">[1]!TBCategorie[CATEGORIE]</definedName>
    <definedName name="ListID" localSheetId="0">[1]!TBID[ID]</definedName>
    <definedName name="ListID">[1]!TBID[ID]</definedName>
    <definedName name="ListMat" localSheetId="0">[0]!ListBD:[0]!LisrClasse</definedName>
    <definedName name="ListMat">ListBD:LisrClasse</definedName>
    <definedName name="ListMATR">[1]THZBD24!$B$8:$B$3070</definedName>
    <definedName name="ListMois" localSheetId="0">[1]!TBMois[MOIS]</definedName>
    <definedName name="ListMois">[1]!TBMois[MOIS]</definedName>
    <definedName name="ListMont">[1]PARAMETTRE!$L$6,[1]PARAMETTRE!$L$25228</definedName>
    <definedName name="ListNMR" localSheetId="0">[0]!ListCat2024:[0]!ListAdress2024</definedName>
    <definedName name="ListNMR">ListCat2024:ListAdress2024</definedName>
    <definedName name="ListNom" localSheetId="0">'BDFIP2526 (2)'!ListCateg2023:'BDFIP2526 (2)'!ListBD</definedName>
    <definedName name="ListNom">#N/A</definedName>
    <definedName name="ListNomInscr2024">[1]THZBD24!$G$9:$G$3070</definedName>
    <definedName name="ListSection" localSheetId="0">[1]!TBSection[SECTION]</definedName>
    <definedName name="ListSection">[1]!TBSection[SECTION]</definedName>
    <definedName name="ListSemaine" localSheetId="0">[1]!TBSemaine[SEMAINE]</definedName>
    <definedName name="ListSemaine">[1]!TBSemaine[SEMAINE]</definedName>
    <definedName name="ListSexe2023" localSheetId="0">[1]!TBSexe[SEXE]</definedName>
    <definedName name="ListSexe2023">[1]!TBSexe[SEXE]</definedName>
    <definedName name="ListTelInscr">[1]THZBD24!$D$8:$D$3070</definedName>
    <definedName name="Lsection1" localSheetId="0">'BDFIP2526 (2)'!$P$8:$P$1229</definedName>
    <definedName name="LstClsTsp" localSheetId="0">[1]!TBTsp[CLASSE]</definedName>
    <definedName name="LstClsTsp">[1]!TBTsp[CLASSE]</definedName>
    <definedName name="LSTCT" localSheetId="0">[1]!TBCategorie[CATEGORIE]</definedName>
    <definedName name="LSTCT">[1]!TBCategorie[CATEGORIE]</definedName>
    <definedName name="LSTCt2024" localSheetId="0">[1]!THZBD25[CATEGORIE]</definedName>
    <definedName name="LSTCt2024">[1]!THZBD25[CATEGORIE]</definedName>
    <definedName name="LstCtTsp" localSheetId="0">[1]!TBTsp[CAT]</definedName>
    <definedName name="LstCtTsp">[1]!TBTsp[CAT]</definedName>
    <definedName name="LstDATEG" localSheetId="0">[1]!TBDATEG[DATE]</definedName>
    <definedName name="LstDATEG">[1]!TBDATEG[DATE]</definedName>
    <definedName name="LstDtBdFr" localSheetId="0">BSSBS2627[DatePaiement]</definedName>
    <definedName name="LstDtBdFr">[1]!BSSBS[DATE]</definedName>
    <definedName name="LstDtTsp" localSheetId="0">[1]!TBTsp[DATE]</definedName>
    <definedName name="LstDtTsp">[1]!TBTsp[DATE]</definedName>
    <definedName name="LstFrFcTsp" localSheetId="0">[1]!TBTsp[Fr FC]</definedName>
    <definedName name="LstFrFcTsp">[1]!TBTsp[Fr FC]</definedName>
    <definedName name="LstFusdTsp" localSheetId="0">[1]!TBTsp[Fr USD]</definedName>
    <definedName name="LstFusdTsp">[1]!TBTsp[Fr USD]</definedName>
    <definedName name="LstJrTsp" localSheetId="0">[1]!TBTsp[JOUR]</definedName>
    <definedName name="LstJrTsp">[1]!TBTsp[JOUR]</definedName>
    <definedName name="LstLdeNaiss24" localSheetId="0">[1]!THZBD25[Lieu et DNSS]</definedName>
    <definedName name="LstLdeNaiss24">[1]!THZBD25[Lieu et DNSS]</definedName>
    <definedName name="LstMAT2" localSheetId="0">BSSBS2627[Matricule]</definedName>
    <definedName name="LstMAT2">[1]!BSSBS[MAT]</definedName>
    <definedName name="LstMatTsp" localSheetId="0">[1]!TBTsp[N°MAT]</definedName>
    <definedName name="LstMatTsp">[1]!TBTsp[N°MAT]</definedName>
    <definedName name="LstMsTsp" localSheetId="0">[1]!TBTsp[MOIS]</definedName>
    <definedName name="LstMsTsp">[1]!TBTsp[MOIS]</definedName>
    <definedName name="LSTNmPYFR" localSheetId="0">BSSBS2627[Nom]</definedName>
    <definedName name="LSTNmPYFR">[1]!BSSBS[NOM -POSTNOM]</definedName>
    <definedName name="LstNmTsp" localSheetId="0">[1]!TBTsp[NOM -POSTNOM]</definedName>
    <definedName name="LstNmTsp">[1]!TBTsp[NOM -POSTNOM]</definedName>
    <definedName name="LstNomISCBD24" localSheetId="0">[1]!THZBD25[[NOM   ]]</definedName>
    <definedName name="LstNomISCBD24">[1]!THZBD25[[NOM   ]]</definedName>
    <definedName name="LstNRC" localSheetId="0">[1]!THZBD25[NUM RECU]</definedName>
    <definedName name="LstNRC">[1]!THZBD25[NUM RECU]</definedName>
    <definedName name="LstRcTsp" localSheetId="0">[1]!TBTsp[N°RECU]</definedName>
    <definedName name="LstRcTsp">[1]!TBTsp[N°RECU]</definedName>
    <definedName name="LstRspELEVES" localSheetId="0">[1]!THZBD25[RESPO &amp; Fonction]</definedName>
    <definedName name="LstRspELEVES">[1]!THZBD25[RESPO &amp; Fonction]</definedName>
    <definedName name="LSTSct" localSheetId="0">[1]!TBSection[SECTION]</definedName>
    <definedName name="LSTSct">[1]!TBSection[SECTION]</definedName>
    <definedName name="LstSct24" localSheetId="0">[1]!THZBD25[SECTION]</definedName>
    <definedName name="LstSct24">[1]!THZBD25[SECTION]</definedName>
    <definedName name="LstSctTsp" localSheetId="0">[1]!TBTsp[SECT]</definedName>
    <definedName name="LstSctTsp">[1]!TBTsp[SECT]</definedName>
    <definedName name="LstSxTsp" localSheetId="0">[1]!TBTsp[SEXE]</definedName>
    <definedName name="LstSxTsp">[1]!TBTsp[SEXE]</definedName>
    <definedName name="LstTfrusdTsp" localSheetId="0">[1]!TBTsp[T Fc /USD]</definedName>
    <definedName name="LstTfrusdTsp">[1]!TBTsp[T Fc /USD]</definedName>
    <definedName name="LstTTGusdTsp" localSheetId="0">[1]!TBTsp[TT G USD]</definedName>
    <definedName name="LstTTGusdTsp">[1]!TBTsp[TT G USD]</definedName>
    <definedName name="LstTx" localSheetId="0">[1]!TBTx[TAUX /Jrs]</definedName>
    <definedName name="LstTx">[1]!TBTx[TAUX /Jrs]</definedName>
    <definedName name="LstTxTsp" localSheetId="0">[1]!TBTsp[Taux/Jrs]</definedName>
    <definedName name="LstTxTsp">[1]!TBTsp[Taux/Jrs]</definedName>
    <definedName name="PLSTCLss" localSheetId="0">[1]!TBClasse[CLASSE]</definedName>
    <definedName name="PLSTCLss">[1]!TBClasse[CLASSE]</definedName>
    <definedName name="PLSTMois" localSheetId="0">[1]!TBMois[MOIS]</definedName>
    <definedName name="PLSTMois">[1]!TBMois[MOIS]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12" i="3" l="1" a="1"/>
  <c r="AM12" i="3" s="1"/>
  <c r="AN12" i="3" a="1"/>
  <c r="AN12" i="3"/>
  <c r="AO12" i="3" a="1"/>
  <c r="AO12" i="3" s="1"/>
  <c r="AT12" i="3"/>
  <c r="AU12" i="3" a="1"/>
  <c r="AU12" i="3" s="1"/>
  <c r="AV12" i="3" a="1"/>
  <c r="AV12" i="3"/>
  <c r="AW12" i="3" a="1"/>
  <c r="AW12" i="3" s="1"/>
  <c r="AX12" i="3" a="1"/>
  <c r="AX12" i="3" s="1"/>
  <c r="AY12" i="3" a="1"/>
  <c r="AY12" i="3" s="1"/>
  <c r="AZ12" i="3" a="1"/>
  <c r="AZ12" i="3" s="1"/>
  <c r="BA12" i="3" a="1"/>
  <c r="BA12" i="3" s="1"/>
  <c r="AM13" i="3" a="1"/>
  <c r="AM13" i="3" s="1"/>
  <c r="AN13" i="3" a="1"/>
  <c r="AN13" i="3" s="1"/>
  <c r="AO13" i="3" a="1"/>
  <c r="AO13" i="3" s="1"/>
  <c r="AS13" i="3" a="1"/>
  <c r="AS13" i="3" s="1"/>
  <c r="AT13" i="3" a="1"/>
  <c r="AT13" i="3" s="1"/>
  <c r="AU13" i="3" a="1"/>
  <c r="AU13" i="3" s="1"/>
  <c r="AV13" i="3" a="1"/>
  <c r="AV13" i="3" s="1"/>
  <c r="AW13" i="3" a="1"/>
  <c r="AW13" i="3" s="1"/>
  <c r="AX13" i="3" a="1"/>
  <c r="AX13" i="3" s="1"/>
  <c r="AY13" i="3" a="1"/>
  <c r="AY13" i="3" s="1"/>
  <c r="AZ13" i="3" a="1"/>
  <c r="AZ13" i="3" s="1"/>
  <c r="BA13" i="3" a="1"/>
  <c r="BA13" i="3" s="1"/>
  <c r="AM14" i="3" a="1"/>
  <c r="AM14" i="3" s="1"/>
  <c r="AN14" i="3" a="1"/>
  <c r="AN14" i="3" s="1"/>
  <c r="AO14" i="3" a="1"/>
  <c r="AO14" i="3" s="1"/>
  <c r="AS14" i="3" a="1"/>
  <c r="AS14" i="3" s="1"/>
  <c r="AT14" i="3" a="1"/>
  <c r="AT14" i="3" s="1"/>
  <c r="AU14" i="3" a="1"/>
  <c r="AU14" i="3" s="1"/>
  <c r="AV14" i="3" a="1"/>
  <c r="AV14" i="3" s="1"/>
  <c r="AW14" i="3" a="1"/>
  <c r="AW14" i="3" s="1"/>
  <c r="AX14" i="3" a="1"/>
  <c r="AX14" i="3" s="1"/>
  <c r="AY14" i="3" a="1"/>
  <c r="AY14" i="3" s="1"/>
  <c r="AZ14" i="3" a="1"/>
  <c r="AZ14" i="3" s="1"/>
  <c r="BA14" i="3" a="1"/>
  <c r="BA14" i="3" s="1"/>
  <c r="AM15" i="3" a="1"/>
  <c r="AM15" i="3" s="1"/>
  <c r="AS15" i="3" a="1"/>
  <c r="AS15" i="3" s="1"/>
  <c r="AT15" i="3" a="1"/>
  <c r="AT15" i="3" s="1"/>
  <c r="AU15" i="3" a="1"/>
  <c r="AU15" i="3" s="1"/>
  <c r="AV15" i="3" a="1"/>
  <c r="AV15" i="3" s="1"/>
  <c r="AW15" i="3" a="1"/>
  <c r="AW15" i="3" s="1"/>
  <c r="AX15" i="3" a="1"/>
  <c r="AX15" i="3" s="1"/>
  <c r="AY15" i="3" a="1"/>
  <c r="AY15" i="3" s="1"/>
  <c r="AZ15" i="3" a="1"/>
  <c r="AZ15" i="3" s="1"/>
  <c r="BA15" i="3" a="1"/>
  <c r="BA15" i="3" s="1"/>
  <c r="AS16" i="3" a="1"/>
  <c r="AS16" i="3" s="1"/>
  <c r="AT16" i="3" a="1"/>
  <c r="AT16" i="3" s="1"/>
  <c r="AU16" i="3" a="1"/>
  <c r="AU16" i="3" s="1"/>
  <c r="AV16" i="3" a="1"/>
  <c r="AV16" i="3" s="1"/>
  <c r="AW16" i="3" a="1"/>
  <c r="AW16" i="3" s="1"/>
  <c r="AX16" i="3" a="1"/>
  <c r="AX16" i="3" s="1"/>
  <c r="AY16" i="3" a="1"/>
  <c r="AY16" i="3" s="1"/>
  <c r="AZ16" i="3" a="1"/>
  <c r="AZ16" i="3" s="1"/>
  <c r="BA16" i="3" a="1"/>
  <c r="BA16" i="3" s="1"/>
  <c r="AS17" i="3" a="1"/>
  <c r="AS17" i="3" s="1"/>
  <c r="AT17" i="3" a="1"/>
  <c r="AT17" i="3" s="1"/>
  <c r="AU17" i="3" a="1"/>
  <c r="AU17" i="3" s="1"/>
  <c r="AV17" i="3" a="1"/>
  <c r="AV17" i="3" s="1"/>
  <c r="AW17" i="3" a="1"/>
  <c r="AW17" i="3" s="1"/>
  <c r="AX17" i="3" a="1"/>
  <c r="AX17" i="3" s="1"/>
  <c r="AY17" i="3" a="1"/>
  <c r="AY17" i="3" s="1"/>
  <c r="AZ17" i="3" a="1"/>
  <c r="AZ17" i="3" s="1"/>
  <c r="BA17" i="3" a="1"/>
  <c r="BA17" i="3" s="1"/>
  <c r="AS18" i="3" a="1"/>
  <c r="AS18" i="3" s="1"/>
  <c r="AT18" i="3" a="1"/>
  <c r="AT18" i="3" s="1"/>
  <c r="AU18" i="3" a="1"/>
  <c r="AU18" i="3" s="1"/>
  <c r="AV18" i="3" a="1"/>
  <c r="AV18" i="3" s="1"/>
  <c r="AW18" i="3" a="1"/>
  <c r="AW18" i="3" s="1"/>
  <c r="AX18" i="3" a="1"/>
  <c r="AX18" i="3" s="1"/>
  <c r="AY18" i="3" a="1"/>
  <c r="AY18" i="3" s="1"/>
  <c r="AZ18" i="3" a="1"/>
  <c r="AZ18" i="3" s="1"/>
  <c r="BA18" i="3" a="1"/>
  <c r="BA18" i="3" s="1"/>
  <c r="AS19" i="3" a="1"/>
  <c r="AS19" i="3" s="1"/>
  <c r="AT19" i="3" a="1"/>
  <c r="AT19" i="3" s="1"/>
  <c r="AU19" i="3" a="1"/>
  <c r="AU19" i="3" s="1"/>
  <c r="AV19" i="3" a="1"/>
  <c r="AV19" i="3" s="1"/>
  <c r="AW19" i="3" a="1"/>
  <c r="AW19" i="3" s="1"/>
  <c r="AX19" i="3" a="1"/>
  <c r="AX19" i="3" s="1"/>
  <c r="AY19" i="3" a="1"/>
  <c r="AY19" i="3" s="1"/>
  <c r="AZ19" i="3" a="1"/>
  <c r="AZ19" i="3" s="1"/>
  <c r="BA19" i="3" a="1"/>
  <c r="BA19" i="3" s="1"/>
  <c r="K1334" i="3"/>
  <c r="B1340" i="3"/>
  <c r="J1334" i="3"/>
  <c r="AO17" i="3"/>
  <c r="AO18" i="3"/>
  <c r="AO19" i="3"/>
</calcChain>
</file>

<file path=xl/sharedStrings.xml><?xml version="1.0" encoding="utf-8"?>
<sst xmlns="http://schemas.openxmlformats.org/spreadsheetml/2006/main" count="12422" uniqueCount="1342">
  <si>
    <t>MAT</t>
  </si>
  <si>
    <t>SEXE</t>
  </si>
  <si>
    <t>CLASSE</t>
  </si>
  <si>
    <t>MOIS</t>
  </si>
  <si>
    <t>FIP</t>
  </si>
  <si>
    <t>FF</t>
  </si>
  <si>
    <t>JOUR</t>
  </si>
  <si>
    <t>NBR FLT</t>
  </si>
  <si>
    <t>TOTAL GENERAL</t>
  </si>
  <si>
    <t>PRM</t>
  </si>
  <si>
    <t>2025-2026</t>
  </si>
  <si>
    <t>MERC</t>
  </si>
  <si>
    <t>A</t>
  </si>
  <si>
    <t>Oct</t>
  </si>
  <si>
    <t>PY</t>
  </si>
  <si>
    <t>4°P</t>
  </si>
  <si>
    <t>F</t>
  </si>
  <si>
    <t>LUKANDAKANDA MWINYI</t>
  </si>
  <si>
    <t>LT449</t>
  </si>
  <si>
    <t>Sept</t>
  </si>
  <si>
    <t>SEC</t>
  </si>
  <si>
    <t>Nov</t>
  </si>
  <si>
    <t>7°EB</t>
  </si>
  <si>
    <t>MAKOPE MWINYI</t>
  </si>
  <si>
    <t>PL630</t>
  </si>
  <si>
    <t>25-26</t>
  </si>
  <si>
    <t>N</t>
  </si>
  <si>
    <t>3°EL</t>
  </si>
  <si>
    <t>M</t>
  </si>
  <si>
    <t>KABANGU MUPOYA</t>
  </si>
  <si>
    <t>PL718</t>
  </si>
  <si>
    <t>3°Sc</t>
  </si>
  <si>
    <t>KAJ A TSHIBAMB</t>
  </si>
  <si>
    <t>PL719</t>
  </si>
  <si>
    <t>1°MG</t>
  </si>
  <si>
    <t>MULAGE BUSHIRI</t>
  </si>
  <si>
    <t>PL092</t>
  </si>
  <si>
    <t>8°EB</t>
  </si>
  <si>
    <t>KABONGO BUSHIRI</t>
  </si>
  <si>
    <t>PL075</t>
  </si>
  <si>
    <t>1M</t>
  </si>
  <si>
    <t>BITA AJUWA Azaria</t>
  </si>
  <si>
    <t>LT514</t>
  </si>
  <si>
    <t>NSAPU KIBAMBE</t>
  </si>
  <si>
    <t>PL637</t>
  </si>
  <si>
    <t>0976024222/0974713130</t>
  </si>
  <si>
    <t>2M</t>
  </si>
  <si>
    <t>KABWIKA KABWIKA Anael</t>
  </si>
  <si>
    <t>LT528</t>
  </si>
  <si>
    <t>MARD</t>
  </si>
  <si>
    <t>2°P</t>
  </si>
  <si>
    <t>KINDA NDJANGU</t>
  </si>
  <si>
    <t>LT370</t>
  </si>
  <si>
    <t>1°Sc</t>
  </si>
  <si>
    <t>KATENGO TSHIKUNG</t>
  </si>
  <si>
    <t>PL096</t>
  </si>
  <si>
    <t>Ac.Sept</t>
  </si>
  <si>
    <t>3°HP</t>
  </si>
  <si>
    <t>KALALA MAKANDA</t>
  </si>
  <si>
    <t>PL735</t>
  </si>
  <si>
    <t>LUND</t>
  </si>
  <si>
    <t>SHANI SHANI</t>
  </si>
  <si>
    <t>PL723</t>
  </si>
  <si>
    <t>SAFI BINTI MUSA</t>
  </si>
  <si>
    <t>LT296</t>
  </si>
  <si>
    <t>3°Lit</t>
  </si>
  <si>
    <t>KAYEMBE KABADI</t>
  </si>
  <si>
    <t>PL727</t>
  </si>
  <si>
    <t>3°MG</t>
  </si>
  <si>
    <t>KAYEMBE MUNDULA</t>
  </si>
  <si>
    <t>PL726</t>
  </si>
  <si>
    <t>Mais</t>
  </si>
  <si>
    <t>3°TCC</t>
  </si>
  <si>
    <t>AMBOMA KANGOLA</t>
  </si>
  <si>
    <t>PL711</t>
  </si>
  <si>
    <t>SHIMBA MUKENI</t>
  </si>
  <si>
    <t>PL714</t>
  </si>
  <si>
    <t>3M</t>
  </si>
  <si>
    <t>KIBUNDULU KAPENGA Pelagie</t>
  </si>
  <si>
    <t>LT543</t>
  </si>
  <si>
    <t>3°P</t>
  </si>
  <si>
    <t>KITANGALA AMISI</t>
  </si>
  <si>
    <t>LT501</t>
  </si>
  <si>
    <t>6°P</t>
  </si>
  <si>
    <t>NGOY WA ILUNGA</t>
  </si>
  <si>
    <t>LT337</t>
  </si>
  <si>
    <t>DESANGE  SALISALI</t>
  </si>
  <si>
    <t>LT504</t>
  </si>
  <si>
    <t>VEND</t>
  </si>
  <si>
    <t>KAZADI MUKAMBO</t>
  </si>
  <si>
    <t>PL732</t>
  </si>
  <si>
    <t>MWADI MUKENDI</t>
  </si>
  <si>
    <t>PL712</t>
  </si>
  <si>
    <t>Dec</t>
  </si>
  <si>
    <t>TSHILEU MUKADI</t>
  </si>
  <si>
    <t>PL731</t>
  </si>
  <si>
    <t>0993180158/0829616695</t>
  </si>
  <si>
    <t>4°Sc</t>
  </si>
  <si>
    <t>ISAKO ILOLO</t>
  </si>
  <si>
    <t>PL359</t>
  </si>
  <si>
    <t>1°EL</t>
  </si>
  <si>
    <t>ILUNGA  KANKOLONGO</t>
  </si>
  <si>
    <t>PL574</t>
  </si>
  <si>
    <t>Sld.Sept</t>
  </si>
  <si>
    <t>MWILA WA MWILA</t>
  </si>
  <si>
    <t>PL091</t>
  </si>
  <si>
    <t>4°EL</t>
  </si>
  <si>
    <t>BITISO KIOLA</t>
  </si>
  <si>
    <t>PL218</t>
  </si>
  <si>
    <t>BAKADIA BAKADIA</t>
  </si>
  <si>
    <t>PL702</t>
  </si>
  <si>
    <t>0990251755/097251755</t>
  </si>
  <si>
    <t>JEUD</t>
  </si>
  <si>
    <t>2°Lit</t>
  </si>
  <si>
    <t>KATOKA KATOKA</t>
  </si>
  <si>
    <t>PL554</t>
  </si>
  <si>
    <t>BULELA NGOMBA</t>
  </si>
  <si>
    <t>PL555</t>
  </si>
  <si>
    <t>MUBA SIMBI</t>
  </si>
  <si>
    <t>PL310</t>
  </si>
  <si>
    <t>BINKU WA BINKU</t>
  </si>
  <si>
    <t>PL472</t>
  </si>
  <si>
    <t>NKAMBA KAPONGU</t>
  </si>
  <si>
    <t>LT534</t>
  </si>
  <si>
    <t>2°EL</t>
  </si>
  <si>
    <t>NZEJI MPOYI</t>
  </si>
  <si>
    <t>PL478</t>
  </si>
  <si>
    <t>1°CG</t>
  </si>
  <si>
    <t>ELONGA BADIBANGA</t>
  </si>
  <si>
    <t>PL081</t>
  </si>
  <si>
    <t>2°MG</t>
  </si>
  <si>
    <t>LEJA BADIBANGA</t>
  </si>
  <si>
    <t>PL113</t>
  </si>
  <si>
    <t>5°P</t>
  </si>
  <si>
    <t>KAKUDJI KONI WA NGOYI</t>
  </si>
  <si>
    <t>LT197</t>
  </si>
  <si>
    <t>LENGE NGOY</t>
  </si>
  <si>
    <t>LT198</t>
  </si>
  <si>
    <t>KABAMBA MULAJA</t>
  </si>
  <si>
    <t>PL592</t>
  </si>
  <si>
    <t>3°CG</t>
  </si>
  <si>
    <t>NDAYA MWAMBA</t>
  </si>
  <si>
    <t>PL734</t>
  </si>
  <si>
    <t>0810007325/0974627762</t>
  </si>
  <si>
    <t>KINYENGE MPAPA</t>
  </si>
  <si>
    <t>PL548</t>
  </si>
  <si>
    <t>2°TCC</t>
  </si>
  <si>
    <t>MASANGA DILENGA</t>
  </si>
  <si>
    <t>PL501</t>
  </si>
  <si>
    <t>999301028/0999301020</t>
  </si>
  <si>
    <t>2°Sc</t>
  </si>
  <si>
    <t xml:space="preserve">ANDJELANI TCHOMBA </t>
  </si>
  <si>
    <t>PL037</t>
  </si>
  <si>
    <t>MULONGOYI KAHAMBWE</t>
  </si>
  <si>
    <t>PL428</t>
  </si>
  <si>
    <t>KASAKA TCHOMBA</t>
  </si>
  <si>
    <t>PL038</t>
  </si>
  <si>
    <t>NGOY NTAMBWE</t>
  </si>
  <si>
    <t>PL721</t>
  </si>
  <si>
    <t>KANDOLO MULAMBA</t>
  </si>
  <si>
    <t>PL213</t>
  </si>
  <si>
    <t>4°HP</t>
  </si>
  <si>
    <t>MISAKABU KANKONDE</t>
  </si>
  <si>
    <t>PL222</t>
  </si>
  <si>
    <t>4°CG</t>
  </si>
  <si>
    <t>NTAMBWE MASTAKI</t>
  </si>
  <si>
    <t>PL421</t>
  </si>
  <si>
    <t>4°Lit</t>
  </si>
  <si>
    <t>NDAYA DILENGA</t>
  </si>
  <si>
    <t>PL444</t>
  </si>
  <si>
    <t>MBOYO ILOLO</t>
  </si>
  <si>
    <t>PL358</t>
  </si>
  <si>
    <t>DOUCE SHABANI</t>
  </si>
  <si>
    <t>PL587</t>
  </si>
  <si>
    <t>4°TCC</t>
  </si>
  <si>
    <t>NTANGA MUTOMBO</t>
  </si>
  <si>
    <t>PL275</t>
  </si>
  <si>
    <t>MAHIMBI WA MAHIMBI</t>
  </si>
  <si>
    <t>PL494</t>
  </si>
  <si>
    <t>TRANGEBETE MBEVO</t>
  </si>
  <si>
    <t>LT339</t>
  </si>
  <si>
    <t>KINA MUNDENDA</t>
  </si>
  <si>
    <t>PL290</t>
  </si>
  <si>
    <t>ARUSHA MAFUTA</t>
  </si>
  <si>
    <t>PL120</t>
  </si>
  <si>
    <t>1°TCC</t>
  </si>
  <si>
    <t>KABAMBA TSHUNZA</t>
  </si>
  <si>
    <t>PL106</t>
  </si>
  <si>
    <t>972873965/0826900299</t>
  </si>
  <si>
    <t>NYEMBO KAMATE</t>
  </si>
  <si>
    <t>PL404</t>
  </si>
  <si>
    <t>MWESA NGOIE</t>
  </si>
  <si>
    <t>LT521</t>
  </si>
  <si>
    <t xml:space="preserve"> KABRAL TSHIMUNA</t>
  </si>
  <si>
    <t>LT097</t>
  </si>
  <si>
    <t>MANZANZA KONDA</t>
  </si>
  <si>
    <t>PL132</t>
  </si>
  <si>
    <t>KALONDA MANGAZA</t>
  </si>
  <si>
    <t>LT443</t>
  </si>
  <si>
    <t>MUSIMWA NGWASE GRACE</t>
  </si>
  <si>
    <t>LT371</t>
  </si>
  <si>
    <t>1°P</t>
  </si>
  <si>
    <t>MUSIMWA NGWASE CHANCELINE</t>
  </si>
  <si>
    <t>LT369</t>
  </si>
  <si>
    <t>MAKOLO MWAMBA</t>
  </si>
  <si>
    <t>LT545</t>
  </si>
  <si>
    <t>NGOIE KONGIE</t>
  </si>
  <si>
    <t>LT423</t>
  </si>
  <si>
    <t>KASEKA KADIMA</t>
  </si>
  <si>
    <t>PL409</t>
  </si>
  <si>
    <t>SHIMPIKO MWILA</t>
  </si>
  <si>
    <t>PL214</t>
  </si>
  <si>
    <t>NDANDALA MAKAKA</t>
  </si>
  <si>
    <t>LT420</t>
  </si>
  <si>
    <t>SUKU MAKAKA</t>
  </si>
  <si>
    <t>LT419</t>
  </si>
  <si>
    <t>SAMED</t>
  </si>
  <si>
    <t>MAPENZI SUMUNYI</t>
  </si>
  <si>
    <t>PL112</t>
  </si>
  <si>
    <t>AMANI LUKOGO  ROBUSTONE</t>
  </si>
  <si>
    <t>LT386</t>
  </si>
  <si>
    <t>TATA KABONGO</t>
  </si>
  <si>
    <t>PL660</t>
  </si>
  <si>
    <t>LUMPUNGU NGOIE</t>
  </si>
  <si>
    <t>PL577</t>
  </si>
  <si>
    <t>MUKENDI MUKANDA</t>
  </si>
  <si>
    <t>PL583</t>
  </si>
  <si>
    <t>TSHIBUMBU MPOYI</t>
  </si>
  <si>
    <t>PL117</t>
  </si>
  <si>
    <t>MAYELE MPOYI</t>
  </si>
  <si>
    <t>PL471</t>
  </si>
  <si>
    <t>DIPA DIA NZAMBI KALONJI</t>
  </si>
  <si>
    <t>LT466</t>
  </si>
  <si>
    <t>TSHIYOYO KALONJI</t>
  </si>
  <si>
    <t>LT467</t>
  </si>
  <si>
    <t>MASENGU KALONJI</t>
  </si>
  <si>
    <t>PL581</t>
  </si>
  <si>
    <t>2°CG</t>
  </si>
  <si>
    <t>KABEYA KALONJI</t>
  </si>
  <si>
    <t>PL315</t>
  </si>
  <si>
    <t>KABWIKA MITEO</t>
  </si>
  <si>
    <t>PL553</t>
  </si>
  <si>
    <t>TSHIBANGU MBULAYI</t>
  </si>
  <si>
    <t>PL224</t>
  </si>
  <si>
    <t>NGOY KAYUMBA</t>
  </si>
  <si>
    <t>PL089</t>
  </si>
  <si>
    <t>KAPEND KANYIMB</t>
  </si>
  <si>
    <t>PL215</t>
  </si>
  <si>
    <t>ASSANI ILUNGA</t>
  </si>
  <si>
    <t>PL211</t>
  </si>
  <si>
    <t>NSOMPO KADIATA</t>
  </si>
  <si>
    <t>PL046</t>
  </si>
  <si>
    <t>MALANGO KALONDA</t>
  </si>
  <si>
    <t>PL549</t>
  </si>
  <si>
    <t>MULAJA KALONJI</t>
  </si>
  <si>
    <t>LT488</t>
  </si>
  <si>
    <t>MULAJA KAPINGA</t>
  </si>
  <si>
    <t>LT487</t>
  </si>
  <si>
    <t>MAYAZOLA NDOSIMAO</t>
  </si>
  <si>
    <t>PL586</t>
  </si>
  <si>
    <t>0975943658/0970466211</t>
  </si>
  <si>
    <t>MAYAZOLA FURAH</t>
  </si>
  <si>
    <t>PL181</t>
  </si>
  <si>
    <t>KAMWANG MULANG</t>
  </si>
  <si>
    <t>PL128</t>
  </si>
  <si>
    <t>NYOTA SADIKI</t>
  </si>
  <si>
    <t>LT143</t>
  </si>
  <si>
    <t>MWENANI SADIKI</t>
  </si>
  <si>
    <t>LT486</t>
  </si>
  <si>
    <t>MISENGAMBU KANDE</t>
  </si>
  <si>
    <t>PL289</t>
  </si>
  <si>
    <t>LUTONDE SUMUNYI</t>
  </si>
  <si>
    <t>PL080</t>
  </si>
  <si>
    <t>1°Lit</t>
  </si>
  <si>
    <t>NJIBA KANDE</t>
  </si>
  <si>
    <t>PL104</t>
  </si>
  <si>
    <t>0990382465/0991403972</t>
  </si>
  <si>
    <t>LOKOWO NGOIE</t>
  </si>
  <si>
    <t>LT335</t>
  </si>
  <si>
    <t>SUMUNYI MULINGANO</t>
  </si>
  <si>
    <t>PL065</t>
  </si>
  <si>
    <t>Ac.Oct</t>
  </si>
  <si>
    <t>TWITE LUFUGULA</t>
  </si>
  <si>
    <t>PL144408</t>
  </si>
  <si>
    <t>KALENGA KOMBE</t>
  </si>
  <si>
    <t>PL477</t>
  </si>
  <si>
    <t>0998347422/0994375412</t>
  </si>
  <si>
    <t>MUSWASWA MITONGU</t>
  </si>
  <si>
    <t>LT549</t>
  </si>
  <si>
    <t>MUSWAMBA KAMWANYIA</t>
  </si>
  <si>
    <t>LT415</t>
  </si>
  <si>
    <t>KAJ TSHEND</t>
  </si>
  <si>
    <t>PL483</t>
  </si>
  <si>
    <t>KALANGA KATALAYI</t>
  </si>
  <si>
    <t>PL482</t>
  </si>
  <si>
    <t>KATAMBWA KASANGA NORBERT</t>
  </si>
  <si>
    <t>PL042</t>
  </si>
  <si>
    <t>TSHIWISA GENION</t>
  </si>
  <si>
    <t>LT400</t>
  </si>
  <si>
    <t>KAHOZI KAYUMBA</t>
  </si>
  <si>
    <t>PL465</t>
  </si>
  <si>
    <t>4°MG</t>
  </si>
  <si>
    <t>KAYEMB TSHIKAT</t>
  </si>
  <si>
    <t>PL438</t>
  </si>
  <si>
    <t>0972565174/0996874143</t>
  </si>
  <si>
    <t>NGOMBA MUTEBA</t>
  </si>
  <si>
    <t>LT546</t>
  </si>
  <si>
    <t>DJAMALI BUKINGA</t>
  </si>
  <si>
    <t>PL225</t>
  </si>
  <si>
    <t>990443257/0977774746</t>
  </si>
  <si>
    <t>TEKELA NZEWU</t>
  </si>
  <si>
    <t>PL301</t>
  </si>
  <si>
    <t>NGALULA NZEWU</t>
  </si>
  <si>
    <t>PL300</t>
  </si>
  <si>
    <t>PEMBA KAYUBAKAR</t>
  </si>
  <si>
    <t>LT385</t>
  </si>
  <si>
    <t>SOMPO KASONGO</t>
  </si>
  <si>
    <t>PL082</t>
  </si>
  <si>
    <t>KABAMBI MUDINGA</t>
  </si>
  <si>
    <t>PL008</t>
  </si>
  <si>
    <t>PERO MPONGO Nick</t>
  </si>
  <si>
    <t>LT515</t>
  </si>
  <si>
    <t>KATEMBO KYAVUYIRWE</t>
  </si>
  <si>
    <t>LT008</t>
  </si>
  <si>
    <t>MWENYA KAMONAYI</t>
  </si>
  <si>
    <t>LT003</t>
  </si>
  <si>
    <t>MILOLO  KILONGO</t>
  </si>
  <si>
    <t>LT323</t>
  </si>
  <si>
    <t>0995622440/0897338007</t>
  </si>
  <si>
    <t>MIANDA KILONGO</t>
  </si>
  <si>
    <t>PL068</t>
  </si>
  <si>
    <t>LONGWA NGUDI TATIANA</t>
  </si>
  <si>
    <t>PL206</t>
  </si>
  <si>
    <t>KASONGO YUMBA</t>
  </si>
  <si>
    <t>PL572</t>
  </si>
  <si>
    <t>TSHISOLA KAPALU</t>
  </si>
  <si>
    <t>PL250</t>
  </si>
  <si>
    <t>MPANGA KALONJI</t>
  </si>
  <si>
    <t>LT328</t>
  </si>
  <si>
    <t>NGALULA KALONJI</t>
  </si>
  <si>
    <t>LT327</t>
  </si>
  <si>
    <t>KALONJI KALONJI</t>
  </si>
  <si>
    <t>PL663</t>
  </si>
  <si>
    <t>KATSHAYI KABONGO</t>
  </si>
  <si>
    <t>PL557</t>
  </si>
  <si>
    <t>MADIAMOLE IKAKUNI</t>
  </si>
  <si>
    <t>LT531</t>
  </si>
  <si>
    <t>0814701253/0992682005</t>
  </si>
  <si>
    <t>KASONGO KISILA</t>
  </si>
  <si>
    <t>PL531</t>
  </si>
  <si>
    <t>MUKIND  KABEY</t>
  </si>
  <si>
    <t>PL522</t>
  </si>
  <si>
    <t>TSHIBANGU MULEPA</t>
  </si>
  <si>
    <t>PL422</t>
  </si>
  <si>
    <t>MWENGA MULEPA</t>
  </si>
  <si>
    <t>PL423</t>
  </si>
  <si>
    <t>0997014249/0978346109</t>
  </si>
  <si>
    <t>BANZA NGOIE</t>
  </si>
  <si>
    <t>PL395</t>
  </si>
  <si>
    <t>LUSANGA MBUNZU</t>
  </si>
  <si>
    <t>PL086</t>
  </si>
  <si>
    <t>KASONGO NSUNGU</t>
  </si>
  <si>
    <t>PL226</t>
  </si>
  <si>
    <t>MUBENESHAYI MBIKAYI</t>
  </si>
  <si>
    <t>PL645</t>
  </si>
  <si>
    <t>NDAYA MWANDA</t>
  </si>
  <si>
    <t>PL400</t>
  </si>
  <si>
    <t>MWANABUTE ANDREAS</t>
  </si>
  <si>
    <t>LT035</t>
  </si>
  <si>
    <t>KAZADI WA LUDIMBA</t>
  </si>
  <si>
    <t>PL540</t>
  </si>
  <si>
    <t xml:space="preserve">MWINE MATANDA </t>
  </si>
  <si>
    <t>PL537</t>
  </si>
  <si>
    <t>MPUTU MILOLO</t>
  </si>
  <si>
    <t>PL057</t>
  </si>
  <si>
    <t>2°HP</t>
  </si>
  <si>
    <t>PEMBE MISENGA</t>
  </si>
  <si>
    <t>PL363</t>
  </si>
  <si>
    <t>KADANG A TSHIBAMB</t>
  </si>
  <si>
    <t>PL229</t>
  </si>
  <si>
    <t>LUBENGA KILELA</t>
  </si>
  <si>
    <t>LT551</t>
  </si>
  <si>
    <t>0808934141/0858454673</t>
  </si>
  <si>
    <t>MBALE KILELA JOS</t>
  </si>
  <si>
    <t>LT505</t>
  </si>
  <si>
    <t>MUJINGA KIZIBA</t>
  </si>
  <si>
    <t>PL518</t>
  </si>
  <si>
    <t>BUSHIRI KABONGO</t>
  </si>
  <si>
    <t>LT506</t>
  </si>
  <si>
    <t>FEZA NTWARI</t>
  </si>
  <si>
    <t>PL054</t>
  </si>
  <si>
    <t>FATUMA KITENGE</t>
  </si>
  <si>
    <t>LT434</t>
  </si>
  <si>
    <t>DISHIKI KITENGE</t>
  </si>
  <si>
    <t>LT433</t>
  </si>
  <si>
    <t>MUTACH KASHAL</t>
  </si>
  <si>
    <t>PL445</t>
  </si>
  <si>
    <t>MUJING KALEND</t>
  </si>
  <si>
    <t>PL636</t>
  </si>
  <si>
    <t>LUBUSHA FURAISHA</t>
  </si>
  <si>
    <t>LT548</t>
  </si>
  <si>
    <t>KAYOWA SHUSHU</t>
  </si>
  <si>
    <t>PL045</t>
  </si>
  <si>
    <t>KALANGA KABWIKA</t>
  </si>
  <si>
    <t>LT302</t>
  </si>
  <si>
    <t>MBUYAMBA KABWIKA</t>
  </si>
  <si>
    <t>LT301</t>
  </si>
  <si>
    <t>LENGE KABWIKA</t>
  </si>
  <si>
    <t>LT300</t>
  </si>
  <si>
    <t>974012222/0975553557</t>
  </si>
  <si>
    <t>MUTSHAPA SIMIRE</t>
  </si>
  <si>
    <t>PL458</t>
  </si>
  <si>
    <t>INDULU NDILU</t>
  </si>
  <si>
    <t>LT275</t>
  </si>
  <si>
    <t>ALI KAWAYA</t>
  </si>
  <si>
    <t>PL145435</t>
  </si>
  <si>
    <t>MUFU PENGELE</t>
  </si>
  <si>
    <t>PL129</t>
  </si>
  <si>
    <t>KALALA WA PELEKONI</t>
  </si>
  <si>
    <t>PL123</t>
  </si>
  <si>
    <t>MANOJ KUMAR</t>
  </si>
  <si>
    <t>PL058</t>
  </si>
  <si>
    <t>MULONGO MANGAZA</t>
  </si>
  <si>
    <t>PL324</t>
  </si>
  <si>
    <t>KAZUMBA MUDJINDJI</t>
  </si>
  <si>
    <t>PL326</t>
  </si>
  <si>
    <t>KITOKO MUKA</t>
  </si>
  <si>
    <t>PL460</t>
  </si>
  <si>
    <t>NGOYI ILUNGA</t>
  </si>
  <si>
    <t>PL621</t>
  </si>
  <si>
    <t>0853128732/0899687386</t>
  </si>
  <si>
    <t>NSAMPU LUBO</t>
  </si>
  <si>
    <t>PL526</t>
  </si>
  <si>
    <t>MUBERE KAMATE</t>
  </si>
  <si>
    <t>PL470</t>
  </si>
  <si>
    <t>MBUYI MWEPU</t>
  </si>
  <si>
    <t>PL032</t>
  </si>
  <si>
    <t>KAMWANYA MWEPU</t>
  </si>
  <si>
    <t>PL031</t>
  </si>
  <si>
    <t>MWADI MWEPU</t>
  </si>
  <si>
    <t>PL033</t>
  </si>
  <si>
    <t>KASONGO MITONE</t>
  </si>
  <si>
    <t>PL468</t>
  </si>
  <si>
    <t>ADIDJA MITONE</t>
  </si>
  <si>
    <t>PL485</t>
  </si>
  <si>
    <t>0843120551/0844012565</t>
  </si>
  <si>
    <t>NTSHILA MUKENDI</t>
  </si>
  <si>
    <t>LT479</t>
  </si>
  <si>
    <t>MBOMBO WA ILUNGA</t>
  </si>
  <si>
    <t>LT430</t>
  </si>
  <si>
    <t>KALOMBO MUJINGA</t>
  </si>
  <si>
    <t>PL497</t>
  </si>
  <si>
    <t>TENGILE ILUNGA</t>
  </si>
  <si>
    <t>LT547</t>
  </si>
  <si>
    <t>MBUYI NZENJI BEN</t>
  </si>
  <si>
    <t>LT405</t>
  </si>
  <si>
    <t>KAPINGA NZENJI</t>
  </si>
  <si>
    <t>LT407</t>
  </si>
  <si>
    <t>BOPE BOPE</t>
  </si>
  <si>
    <t>PL048</t>
  </si>
  <si>
    <t>ACACIA KATEMBWA</t>
  </si>
  <si>
    <t>PL647</t>
  </si>
  <si>
    <t>0990490196/0975717642</t>
  </si>
  <si>
    <t>TSHIBAMBA KATEMBWE</t>
  </si>
  <si>
    <t>PL130</t>
  </si>
  <si>
    <t>0977023229;0970523616</t>
  </si>
  <si>
    <t>KAMWANYA TSHIMBELA</t>
  </si>
  <si>
    <t>LT088</t>
  </si>
  <si>
    <t>MUJINGA WA KANDA</t>
  </si>
  <si>
    <t>PL093</t>
  </si>
  <si>
    <t>NAWEJ MUTCHAIL</t>
  </si>
  <si>
    <t>PL160</t>
  </si>
  <si>
    <t>MANGALA KALONGOLA</t>
  </si>
  <si>
    <t>PL388</t>
  </si>
  <si>
    <t>FERUZI KALONGOLA</t>
  </si>
  <si>
    <t>PL387</t>
  </si>
  <si>
    <t>TSHISEKEDI TSHIMBALANGA</t>
  </si>
  <si>
    <t>PL453</t>
  </si>
  <si>
    <t>NONGO KALONDA</t>
  </si>
  <si>
    <t>PL144922</t>
  </si>
  <si>
    <t>MUnYUNGU NDOMBE</t>
  </si>
  <si>
    <t>PL144648</t>
  </si>
  <si>
    <t>MULONGOYI  AMANI</t>
  </si>
  <si>
    <t>PL596</t>
  </si>
  <si>
    <t>MULONGOYI MPANGI</t>
  </si>
  <si>
    <t>PL050</t>
  </si>
  <si>
    <t>SOMPO MULIMBI</t>
  </si>
  <si>
    <t>LT398</t>
  </si>
  <si>
    <t>NTAMBWE NGOY</t>
  </si>
  <si>
    <t>PL220</t>
  </si>
  <si>
    <t>ILUNGA BISIBO</t>
  </si>
  <si>
    <t>PL228</t>
  </si>
  <si>
    <t>TSHIBANGU MUKENGE</t>
  </si>
  <si>
    <t>LT503</t>
  </si>
  <si>
    <t>0997102095/0970000052</t>
  </si>
  <si>
    <t>NGALULA MUKENGE</t>
  </si>
  <si>
    <t>LT495</t>
  </si>
  <si>
    <t>MUKENDI KABONGO</t>
  </si>
  <si>
    <t>PL005</t>
  </si>
  <si>
    <t>977001384/0854778197</t>
  </si>
  <si>
    <t>KAYUMBA LUPOLE</t>
  </si>
  <si>
    <t>PL009</t>
  </si>
  <si>
    <t>BANZA NZITA</t>
  </si>
  <si>
    <t>PL047</t>
  </si>
  <si>
    <t>MUJINGA MUTEB</t>
  </si>
  <si>
    <t>PL629</t>
  </si>
  <si>
    <t>KAPINGA KAZADI</t>
  </si>
  <si>
    <t>PL382</t>
  </si>
  <si>
    <t>SHANI MULUNDA</t>
  </si>
  <si>
    <t>PL071</t>
  </si>
  <si>
    <t>WOTO KAPINGA</t>
  </si>
  <si>
    <t>LT438</t>
  </si>
  <si>
    <t>AISHA BINTI MUSA</t>
  </si>
  <si>
    <t>LT297</t>
  </si>
  <si>
    <t>FATUMA BINTI MUSA</t>
  </si>
  <si>
    <t>LT054</t>
  </si>
  <si>
    <t>SULEIMAN BIN MUSA</t>
  </si>
  <si>
    <t>PL655</t>
  </si>
  <si>
    <t>MASENGU TSHANGALA</t>
  </si>
  <si>
    <t>PL391</t>
  </si>
  <si>
    <t>0850141313/0896618714</t>
  </si>
  <si>
    <t>TSHANGALA TSHANGALA</t>
  </si>
  <si>
    <t>LT346</t>
  </si>
  <si>
    <t>0896618714/0850141313</t>
  </si>
  <si>
    <t>KAJA TSHANGALA</t>
  </si>
  <si>
    <t>LT345</t>
  </si>
  <si>
    <t>KAZADI TSHILANDA</t>
  </si>
  <si>
    <t>PL043</t>
  </si>
  <si>
    <t>KABEDI KAHINGA</t>
  </si>
  <si>
    <t>PL122</t>
  </si>
  <si>
    <t>KAZADI MBUYI</t>
  </si>
  <si>
    <t>LT417</t>
  </si>
  <si>
    <t>0973434777/0850156160</t>
  </si>
  <si>
    <t>KAPINGA ODIMU</t>
  </si>
  <si>
    <t>PL523</t>
  </si>
  <si>
    <t xml:space="preserve">KAZADI  MBAYA </t>
  </si>
  <si>
    <t>PL072</t>
  </si>
  <si>
    <t>KAZADI NDAYA</t>
  </si>
  <si>
    <t>PL125</t>
  </si>
  <si>
    <t xml:space="preserve">KAZADI TSHIYAMBA </t>
  </si>
  <si>
    <t>PL126</t>
  </si>
  <si>
    <t>RAMAZANI BIN  OMARI</t>
  </si>
  <si>
    <t>PL221</t>
  </si>
  <si>
    <t>0841190004/0974060508</t>
  </si>
  <si>
    <t>NGOY KABASH</t>
  </si>
  <si>
    <t>PL296</t>
  </si>
  <si>
    <t>MUKADI NSENDA</t>
  </si>
  <si>
    <t>PL103</t>
  </si>
  <si>
    <t>MPUTU KABUYA</t>
  </si>
  <si>
    <t>PL115</t>
  </si>
  <si>
    <t>NDAMPIA KIBAMBE</t>
  </si>
  <si>
    <t>LT351</t>
  </si>
  <si>
    <t>KASAKA KIBAMBE</t>
  </si>
  <si>
    <t>LT353</t>
  </si>
  <si>
    <t>KIBAMBE KIBAMBE</t>
  </si>
  <si>
    <t>LT352</t>
  </si>
  <si>
    <t>NTAMBWE LUKANGA</t>
  </si>
  <si>
    <t>PL216</t>
  </si>
  <si>
    <t>NKULU MULONGO</t>
  </si>
  <si>
    <t>PL380</t>
  </si>
  <si>
    <t>NSUNGU MULONGO</t>
  </si>
  <si>
    <t>PL563</t>
  </si>
  <si>
    <t>0995684710 ;  812319428</t>
  </si>
  <si>
    <t>SHARADI SALOMO</t>
  </si>
  <si>
    <t>PL576</t>
  </si>
  <si>
    <t>CLEODILE KALONDA</t>
  </si>
  <si>
    <t>LT311</t>
  </si>
  <si>
    <t>MWINE NSUNGU</t>
  </si>
  <si>
    <t>PL539</t>
  </si>
  <si>
    <t>NGOY KITWA</t>
  </si>
  <si>
    <t>PL573</t>
  </si>
  <si>
    <t>MBAYO SALISALI</t>
  </si>
  <si>
    <t>PL451</t>
  </si>
  <si>
    <t>MWAJUMA KANKONDE</t>
  </si>
  <si>
    <t>PL079</t>
  </si>
  <si>
    <t>MOLA KANKONDE</t>
  </si>
  <si>
    <t>LT436</t>
  </si>
  <si>
    <t>ASSISSA KANKONDA</t>
  </si>
  <si>
    <t>PL722</t>
  </si>
  <si>
    <t>CHANCHI KAKONDA</t>
  </si>
  <si>
    <t>YONGO MBOKANI</t>
  </si>
  <si>
    <t>PL063</t>
  </si>
  <si>
    <t>IKALAMUSI KUANZA</t>
  </si>
  <si>
    <t>LT532</t>
  </si>
  <si>
    <t>MBEMBA DIENGANI</t>
  </si>
  <si>
    <t>LT381</t>
  </si>
  <si>
    <t>NGALULA KAYEMBE</t>
  </si>
  <si>
    <t>LT317</t>
  </si>
  <si>
    <t>MABIKA  KAYEMBE</t>
  </si>
  <si>
    <t>LT319</t>
  </si>
  <si>
    <t>BANZA KAYEMBE</t>
  </si>
  <si>
    <t>LT318</t>
  </si>
  <si>
    <t>NKULU LONDWA</t>
  </si>
  <si>
    <t>LT005</t>
  </si>
  <si>
    <t>KALELA LONDWA</t>
  </si>
  <si>
    <t>LT006</t>
  </si>
  <si>
    <t>MAIKA MUKUNA</t>
  </si>
  <si>
    <t>LT321</t>
  </si>
  <si>
    <t>MUKENDI KABONZO</t>
  </si>
  <si>
    <t>LT413</t>
  </si>
  <si>
    <t>BIONA MUKUNA</t>
  </si>
  <si>
    <t>LT322</t>
  </si>
  <si>
    <t>KONA MUKUNA</t>
  </si>
  <si>
    <t>LT544</t>
  </si>
  <si>
    <t>TSHITENGE BANTU</t>
  </si>
  <si>
    <t>PL316</t>
  </si>
  <si>
    <t>ATCHUKANI OKABO</t>
  </si>
  <si>
    <t>PL012</t>
  </si>
  <si>
    <t>KABAMBA ILONDO</t>
  </si>
  <si>
    <t>LT533</t>
  </si>
  <si>
    <t>ILONDO ILONDO</t>
  </si>
  <si>
    <t>LT250</t>
  </si>
  <si>
    <t>MBELU MBAYO</t>
  </si>
  <si>
    <t>PL542</t>
  </si>
  <si>
    <t>MUNGAMBA OMARI</t>
  </si>
  <si>
    <t>PL341</t>
  </si>
  <si>
    <t>IWOLO NGWENJ</t>
  </si>
  <si>
    <t>PL642</t>
  </si>
  <si>
    <t>MAYAHUDI MUTUNGWA</t>
  </si>
  <si>
    <t>PL570</t>
  </si>
  <si>
    <t>BADIBANGA BADIVE</t>
  </si>
  <si>
    <t>LT525</t>
  </si>
  <si>
    <t>MBIKAYI NGANDU</t>
  </si>
  <si>
    <t>AMANI MAUWA</t>
  </si>
  <si>
    <t>1°Cons</t>
  </si>
  <si>
    <t>MUTOMBO KAYEMBE</t>
  </si>
  <si>
    <t>PL105</t>
  </si>
  <si>
    <t>KASOKI MUHANI</t>
  </si>
  <si>
    <t>PL044</t>
  </si>
  <si>
    <t>NYOTA NGOIE</t>
  </si>
  <si>
    <t>LT440</t>
  </si>
  <si>
    <t>NTUNKA NKOLOMONI</t>
  </si>
  <si>
    <t>PL283</t>
  </si>
  <si>
    <t>MOLA KUMINGA</t>
  </si>
  <si>
    <t>PL416</t>
  </si>
  <si>
    <t>DJESSE BADIBANGA</t>
  </si>
  <si>
    <t>LT542</t>
  </si>
  <si>
    <t>KASONGO TUMBA</t>
  </si>
  <si>
    <t>PL087</t>
  </si>
  <si>
    <t>KAPEMBWA MUJINGA</t>
  </si>
  <si>
    <t>PL212</t>
  </si>
  <si>
    <t>KAPEMBWA KAMANGU</t>
  </si>
  <si>
    <t>PL231</t>
  </si>
  <si>
    <t>MUTELA TSHOMBA</t>
  </si>
  <si>
    <t>LT491</t>
  </si>
  <si>
    <t>SHOYA ONYA</t>
  </si>
  <si>
    <t>PL334</t>
  </si>
  <si>
    <t>SAFI YOME</t>
  </si>
  <si>
    <t>PL393</t>
  </si>
  <si>
    <t>ILUNGA ONYA</t>
  </si>
  <si>
    <t>PL394</t>
  </si>
  <si>
    <t>MWEPU MUSWE BANTU</t>
  </si>
  <si>
    <t>PL700</t>
  </si>
  <si>
    <t>NGOY MAKAMBA</t>
  </si>
  <si>
    <t>LT298</t>
  </si>
  <si>
    <t>KENA MAKAMBA</t>
  </si>
  <si>
    <t>LT299</t>
  </si>
  <si>
    <t>KANYANGA MAKAMBO</t>
  </si>
  <si>
    <t>PL083</t>
  </si>
  <si>
    <t>NGANDWE MUSILANDE</t>
  </si>
  <si>
    <t>PL035</t>
  </si>
  <si>
    <t>ILUNGA WA KIYAMBI NICIA</t>
  </si>
  <si>
    <t>LT474</t>
  </si>
  <si>
    <t>ILUNGA WA KIYAMBI YANUS</t>
  </si>
  <si>
    <t>LT473</t>
  </si>
  <si>
    <t>KAMWANYA KAZADI Meleke</t>
  </si>
  <si>
    <t>LT556</t>
  </si>
  <si>
    <t>NGUVUOKAKO NGUVU hope</t>
  </si>
  <si>
    <t>LT524</t>
  </si>
  <si>
    <t>MUKONGA WA KYUNGU</t>
  </si>
  <si>
    <t>LT165</t>
  </si>
  <si>
    <t>MUKONGA MBOMBO Constantine</t>
  </si>
  <si>
    <t>LT161</t>
  </si>
  <si>
    <t>MUKONGA VANDEKE</t>
  </si>
  <si>
    <t>LT470</t>
  </si>
  <si>
    <t>MASUWA NGOMERERO Diela</t>
  </si>
  <si>
    <t>LT510</t>
  </si>
  <si>
    <t>NUMBI WA ILUNGA</t>
  </si>
  <si>
    <t>PL355</t>
  </si>
  <si>
    <t>NGOIE WA ILUNGA</t>
  </si>
  <si>
    <t>PL354</t>
  </si>
  <si>
    <t>MAKENDA KASONGO</t>
  </si>
  <si>
    <t>PL353</t>
  </si>
  <si>
    <t>KALUNGA BATOKA</t>
  </si>
  <si>
    <t>PL133</t>
  </si>
  <si>
    <t>ABIBA FURAH</t>
  </si>
  <si>
    <t>PL607</t>
  </si>
  <si>
    <t>KALENGA MBOMBO</t>
  </si>
  <si>
    <t>LT032</t>
  </si>
  <si>
    <t>NKULU WA MUJINGA</t>
  </si>
  <si>
    <t>PL090</t>
  </si>
  <si>
    <t>0810370175/0992167027</t>
  </si>
  <si>
    <t>MUTANDA WA MUTANDA</t>
  </si>
  <si>
    <t>PL568</t>
  </si>
  <si>
    <t>MUJINGA KALENGA</t>
  </si>
  <si>
    <t>LT043</t>
  </si>
  <si>
    <t>KALENGA  SANZA</t>
  </si>
  <si>
    <t>LT041</t>
  </si>
  <si>
    <t>KATOKA BIPENDU</t>
  </si>
  <si>
    <t>PL505</t>
  </si>
  <si>
    <t>MAMBWE WA LUNYAMBO</t>
  </si>
  <si>
    <t>PL004</t>
  </si>
  <si>
    <t>NDASHI WA LUNYAMBO</t>
  </si>
  <si>
    <t>PL014</t>
  </si>
  <si>
    <t>WALUNYAMBO KASAMWE</t>
  </si>
  <si>
    <t>LT051</t>
  </si>
  <si>
    <t>0840943022/0993072628</t>
  </si>
  <si>
    <t>SOKE KITENGE</t>
  </si>
  <si>
    <t>LT052</t>
  </si>
  <si>
    <t>TSHIBALA LUKUSA</t>
  </si>
  <si>
    <t>PL504</t>
  </si>
  <si>
    <t>KAYUMBA LUKUSA</t>
  </si>
  <si>
    <t>PL503</t>
  </si>
  <si>
    <t>CHIKONDE MWELWA</t>
  </si>
  <si>
    <t>PL559</t>
  </si>
  <si>
    <t>MULUNDA KABASELE</t>
  </si>
  <si>
    <t>PL051</t>
  </si>
  <si>
    <t>TSHIBWABWA MUKENDI</t>
  </si>
  <si>
    <t>PL379</t>
  </si>
  <si>
    <t>0822923133/</t>
  </si>
  <si>
    <t>LIAMBI IKALAMUSI</t>
  </si>
  <si>
    <t>PL612</t>
  </si>
  <si>
    <t>0815955855/0822923133</t>
  </si>
  <si>
    <t>LIFONGA IKALAMUSI</t>
  </si>
  <si>
    <t>PL613</t>
  </si>
  <si>
    <t>0970238355/0828349114</t>
  </si>
  <si>
    <t>MBOMBO MUFUTA</t>
  </si>
  <si>
    <t>PL525</t>
  </si>
  <si>
    <t>MAKUNGU MUSWEKA</t>
  </si>
  <si>
    <t>LT435</t>
  </si>
  <si>
    <t>NYEJE NABAHAMA MICHEL</t>
  </si>
  <si>
    <t>PL041</t>
  </si>
  <si>
    <t>NYEJE NABAHAMA</t>
  </si>
  <si>
    <t>PL589</t>
  </si>
  <si>
    <t>MBWIKADI BAKADIA</t>
  </si>
  <si>
    <t>PL056</t>
  </si>
  <si>
    <t>MBOMBO KALOMBO</t>
  </si>
  <si>
    <t>PL055</t>
  </si>
  <si>
    <t>ATIBU TSHIBANGU</t>
  </si>
  <si>
    <t>LT325</t>
  </si>
  <si>
    <t>AYISSATA ATIBU</t>
  </si>
  <si>
    <t>LT326</t>
  </si>
  <si>
    <t>SAKINA ATIBU</t>
  </si>
  <si>
    <t>PL067</t>
  </si>
  <si>
    <t>ANDJELANI ATIBU</t>
  </si>
  <si>
    <t>PL307</t>
  </si>
  <si>
    <t>MUKENYI MANUMBI</t>
  </si>
  <si>
    <t>PL084</t>
  </si>
  <si>
    <t>BIMA MUKONKOLE</t>
  </si>
  <si>
    <t>PL437</t>
  </si>
  <si>
    <t>BIEME  MPAY</t>
  </si>
  <si>
    <t>PL556</t>
  </si>
  <si>
    <t>MUSAU KABAMBI</t>
  </si>
  <si>
    <t>PL351</t>
  </si>
  <si>
    <t>PETU KANYINDA</t>
  </si>
  <si>
    <t>PL052</t>
  </si>
  <si>
    <t>MUMBA KALIMA</t>
  </si>
  <si>
    <t>PL227</t>
  </si>
  <si>
    <t>LUBANGI SAMBA</t>
  </si>
  <si>
    <t>LT494</t>
  </si>
  <si>
    <t>OKOMBO SAMBA</t>
  </si>
  <si>
    <t>LT164</t>
  </si>
  <si>
    <t>OKITO SAMBA</t>
  </si>
  <si>
    <t>LT163</t>
  </si>
  <si>
    <t>KASONGO KIZIBA</t>
  </si>
  <si>
    <t>PL519</t>
  </si>
  <si>
    <t>KASONGO KIZIBA OWEN</t>
  </si>
  <si>
    <t>LT079</t>
  </si>
  <si>
    <t>LT395</t>
  </si>
  <si>
    <t>KABONGO MULUMBA</t>
  </si>
  <si>
    <t>PL370</t>
  </si>
  <si>
    <t>0970669499/0976860674</t>
  </si>
  <si>
    <t>SHAMY NALUNDA</t>
  </si>
  <si>
    <t>LT347</t>
  </si>
  <si>
    <t>NANA BERNARD</t>
  </si>
  <si>
    <t>PL134</t>
  </si>
  <si>
    <t>NGOYI KAPENGA esther</t>
  </si>
  <si>
    <t>LT509</t>
  </si>
  <si>
    <t>KAPENGA KAPENGA</t>
  </si>
  <si>
    <t>LT314</t>
  </si>
  <si>
    <t>KAPAFULE KAPENGA</t>
  </si>
  <si>
    <t>LT315</t>
  </si>
  <si>
    <t>0990480162/0990312395</t>
  </si>
  <si>
    <t>TSHISHIMBI MUBENGA</t>
  </si>
  <si>
    <t>LT552</t>
  </si>
  <si>
    <t>Ac.Nov</t>
  </si>
  <si>
    <t>SHILO AMISI KYANDA</t>
  </si>
  <si>
    <t>LT511</t>
  </si>
  <si>
    <t>AMISI KYANGA</t>
  </si>
  <si>
    <t>LT498</t>
  </si>
  <si>
    <t>ZUBENDA AMISI</t>
  </si>
  <si>
    <t>LT539</t>
  </si>
  <si>
    <t xml:space="preserve">MUTOMBO KISIMBA </t>
  </si>
  <si>
    <t>LT508</t>
  </si>
  <si>
    <t>MUSWAYA KATAY Baraka</t>
  </si>
  <si>
    <t>LT519</t>
  </si>
  <si>
    <t>0831515793/0975956926</t>
  </si>
  <si>
    <t>NEHEMA KAZADI</t>
  </si>
  <si>
    <t>PL541</t>
  </si>
  <si>
    <t>KABASU MPIANA</t>
  </si>
  <si>
    <t>PL658</t>
  </si>
  <si>
    <t>Juin</t>
  </si>
  <si>
    <t>MULUMBA MATAMBA</t>
  </si>
  <si>
    <t>LT403</t>
  </si>
  <si>
    <t>Ac.Juin</t>
  </si>
  <si>
    <t>AMBOAKA MATAMBA</t>
  </si>
  <si>
    <t>LT404</t>
  </si>
  <si>
    <t>KUMWIMBA ILUNGA</t>
  </si>
  <si>
    <t>PL070</t>
  </si>
  <si>
    <t>Aout</t>
  </si>
  <si>
    <t>NGENDA KADIMA</t>
  </si>
  <si>
    <t>PL121</t>
  </si>
  <si>
    <t>0850932909/0990262434</t>
  </si>
  <si>
    <t>KISIMBA BENDERA ILUNGA</t>
  </si>
  <si>
    <t>PL342</t>
  </si>
  <si>
    <t>0858913202/0998525070</t>
  </si>
  <si>
    <t>NUMBI  KAMWANYA</t>
  </si>
  <si>
    <t>PL303</t>
  </si>
  <si>
    <t>ODIMBA WA OKUNDJI</t>
  </si>
  <si>
    <t>PL308</t>
  </si>
  <si>
    <t>N°</t>
  </si>
  <si>
    <t xml:space="preserve">FF </t>
  </si>
  <si>
    <t xml:space="preserve">FIP </t>
  </si>
  <si>
    <t>NUM RECU</t>
  </si>
  <si>
    <t xml:space="preserve">DAYE </t>
  </si>
  <si>
    <t>LUMPUNGU LUMPIBWE</t>
  </si>
  <si>
    <t>PL652</t>
  </si>
  <si>
    <t>TSHITENGE  BANTU SETU</t>
  </si>
  <si>
    <t xml:space="preserve">RECHERCHE </t>
  </si>
  <si>
    <t>J SEMAINE</t>
  </si>
  <si>
    <t xml:space="preserve">MONTANT </t>
  </si>
  <si>
    <t>NumRecu</t>
  </si>
  <si>
    <t>Sexe</t>
  </si>
  <si>
    <t>Classe</t>
  </si>
  <si>
    <t>Categorie</t>
  </si>
  <si>
    <t>Mois</t>
  </si>
  <si>
    <t>Matricule</t>
  </si>
  <si>
    <t>DatePaiement</t>
  </si>
  <si>
    <t>AnneeScolaire</t>
  </si>
  <si>
    <t>Section</t>
  </si>
  <si>
    <t>Telephone</t>
  </si>
  <si>
    <t>Email</t>
  </si>
  <si>
    <t>Jour</t>
  </si>
  <si>
    <t>Obs</t>
  </si>
  <si>
    <t>PL716</t>
  </si>
  <si>
    <t>SUMBU KUMINGA</t>
  </si>
  <si>
    <t>PL092059</t>
  </si>
  <si>
    <t xml:space="preserve">KABANGE ILUNGA </t>
  </si>
  <si>
    <t>PL715</t>
  </si>
  <si>
    <t>RAJABU MAFUTA</t>
  </si>
  <si>
    <t>PL141921</t>
  </si>
  <si>
    <t>MUTANDA KASEMWANA</t>
  </si>
  <si>
    <t>PL143529</t>
  </si>
  <si>
    <t>KAZADI KALONJI Heritier</t>
  </si>
  <si>
    <t>PL145107</t>
  </si>
  <si>
    <t>LONGWA MUSHADI</t>
  </si>
  <si>
    <t>LT151711</t>
  </si>
  <si>
    <t>MUSWASWA MUKENGELA</t>
  </si>
  <si>
    <t>LT152616</t>
  </si>
  <si>
    <t>MUSWASWA IBA IBA</t>
  </si>
  <si>
    <t>PL724</t>
  </si>
  <si>
    <t>NGOY SHIMBI</t>
  </si>
  <si>
    <t>PL163212</t>
  </si>
  <si>
    <t>KAYIMBA KUNDA</t>
  </si>
  <si>
    <t>PL730</t>
  </si>
  <si>
    <t>LUHEMBWE KAINGA</t>
  </si>
  <si>
    <t>LT165742</t>
  </si>
  <si>
    <t>KABUYA KABONZO</t>
  </si>
  <si>
    <t>PL170740</t>
  </si>
  <si>
    <t>KING LUYEYE</t>
  </si>
  <si>
    <t>PL487</t>
  </si>
  <si>
    <t>KAYEMBE TSHIMANGA</t>
  </si>
  <si>
    <t>PL040</t>
  </si>
  <si>
    <t>KANYINDA TSHIMANGA</t>
  </si>
  <si>
    <t>PL403</t>
  </si>
  <si>
    <t>LUFUNGULA BALASO</t>
  </si>
  <si>
    <t>0811775357/09908823696</t>
  </si>
  <si>
    <t>LT308</t>
  </si>
  <si>
    <t>SALAMA SUMUNYI</t>
  </si>
  <si>
    <t>LT309</t>
  </si>
  <si>
    <t>MAKUNGU SUMUNYI</t>
  </si>
  <si>
    <t>LT399</t>
  </si>
  <si>
    <t>BILONDA BINKU</t>
  </si>
  <si>
    <t>0991102293/</t>
  </si>
  <si>
    <t>PL499</t>
  </si>
  <si>
    <t>NGOYI MWILAMBWE</t>
  </si>
  <si>
    <t>PL431</t>
  </si>
  <si>
    <t>KILUFIA MUJINGA</t>
  </si>
  <si>
    <t>PL430</t>
  </si>
  <si>
    <t>MUSEKA MWENDA</t>
  </si>
  <si>
    <t>PL374</t>
  </si>
  <si>
    <t>KAZAKU MPOLESHA</t>
  </si>
  <si>
    <t>PL373</t>
  </si>
  <si>
    <t>NTAMBWE MPOLESHA</t>
  </si>
  <si>
    <t>PL109</t>
  </si>
  <si>
    <t>ILUNGA MAKENDA</t>
  </si>
  <si>
    <t>PL060</t>
  </si>
  <si>
    <t>MUJINGA BILONDA</t>
  </si>
  <si>
    <t>LT388</t>
  </si>
  <si>
    <t>MUKENDI KAPITA</t>
  </si>
  <si>
    <t>0808677280 ; 0974609571</t>
  </si>
  <si>
    <t>LT143825</t>
  </si>
  <si>
    <t>MAJAMBO KABONGO</t>
  </si>
  <si>
    <t>LT389</t>
  </si>
  <si>
    <t>MBELU BILONDA</t>
  </si>
  <si>
    <t>0895618289/0808677280</t>
  </si>
  <si>
    <t>PL635</t>
  </si>
  <si>
    <t>ILUNGA BINKU</t>
  </si>
  <si>
    <t>PL506</t>
  </si>
  <si>
    <t xml:space="preserve">KAPINGA ILUNGA </t>
  </si>
  <si>
    <t>PL145437</t>
  </si>
  <si>
    <t>NTSHILA KABUYA</t>
  </si>
  <si>
    <t>3LIT</t>
  </si>
  <si>
    <t>PL151328</t>
  </si>
  <si>
    <t>KABANGE SHIKAMI</t>
  </si>
  <si>
    <t>PL078</t>
  </si>
  <si>
    <t>MULOKO MBALE</t>
  </si>
  <si>
    <t>PL493</t>
  </si>
  <si>
    <t>BENAKEMPE BEYA</t>
  </si>
  <si>
    <t>0851504306/0858849879</t>
  </si>
  <si>
    <t>PL492</t>
  </si>
  <si>
    <t>KABWIZA MBUYI</t>
  </si>
  <si>
    <t>Janv</t>
  </si>
  <si>
    <t>Fevr</t>
  </si>
  <si>
    <t>Mars</t>
  </si>
  <si>
    <t>PL459</t>
  </si>
  <si>
    <t>MUTSHAPA UYUNGU</t>
  </si>
  <si>
    <t>LT313</t>
  </si>
  <si>
    <t>KEMFINE MAZABI</t>
  </si>
  <si>
    <t>PL496</t>
  </si>
  <si>
    <t>WIDA WANDA</t>
  </si>
  <si>
    <t>LT354</t>
  </si>
  <si>
    <t>KABISAYI MAYO</t>
  </si>
  <si>
    <t>0811919796/0817831180</t>
  </si>
  <si>
    <t>PL567</t>
  </si>
  <si>
    <t>MWENZE DISAPA</t>
  </si>
  <si>
    <t>PL638</t>
  </si>
  <si>
    <t>MUSEKA WA KAPEND</t>
  </si>
  <si>
    <t>LT437</t>
  </si>
  <si>
    <t>KYUNGU NGOMBA</t>
  </si>
  <si>
    <t>0992677883/0974731877</t>
  </si>
  <si>
    <t>PL591</t>
  </si>
  <si>
    <t>KABANGA KANDA</t>
  </si>
  <si>
    <t>PL566</t>
  </si>
  <si>
    <t>NZEBA MUKEBO</t>
  </si>
  <si>
    <t>LT027</t>
  </si>
  <si>
    <t>MUTONJI LUBUYA Toby</t>
  </si>
  <si>
    <t>LT025</t>
  </si>
  <si>
    <t>BUKASA MUTONJI</t>
  </si>
  <si>
    <t>243852284541/0825003122</t>
  </si>
  <si>
    <t>LT026</t>
  </si>
  <si>
    <t>KAPINGA MUTONJI</t>
  </si>
  <si>
    <t>christinekapinga668@gmail.com</t>
  </si>
  <si>
    <t>PL357</t>
  </si>
  <si>
    <t>MUMBA LUBANGA</t>
  </si>
  <si>
    <t>LT411</t>
  </si>
  <si>
    <t>BABANJILA LENGE</t>
  </si>
  <si>
    <t>PL017</t>
  </si>
  <si>
    <t>TATANGOLO KAMUNGU</t>
  </si>
  <si>
    <t>PL018</t>
  </si>
  <si>
    <t>MBIYA TATANGOLO</t>
  </si>
  <si>
    <t>PL701</t>
  </si>
  <si>
    <t>LT336</t>
  </si>
  <si>
    <t>LUTONDE FADHILI</t>
  </si>
  <si>
    <t>PL327</t>
  </si>
  <si>
    <t>ILUNGA BADIBANGA</t>
  </si>
  <si>
    <t>LT397</t>
  </si>
  <si>
    <t>MWAUKA KABENGELE</t>
  </si>
  <si>
    <t>LT408</t>
  </si>
  <si>
    <t>MUBIAYI MUBIAYI</t>
  </si>
  <si>
    <t>LT102843</t>
  </si>
  <si>
    <t>BEYA TUBA</t>
  </si>
  <si>
    <t>LT565</t>
  </si>
  <si>
    <t>FADO MUBIAYI</t>
  </si>
  <si>
    <t>LT009</t>
  </si>
  <si>
    <t>DIKEBELA MUBIAYI</t>
  </si>
  <si>
    <t>0997026834/0995634388</t>
  </si>
  <si>
    <t>PL498</t>
  </si>
  <si>
    <t>ILUNGA MWAMBA</t>
  </si>
  <si>
    <t>PL356</t>
  </si>
  <si>
    <t>LUBANGA NYIAMABU</t>
  </si>
  <si>
    <t>PL085</t>
  </si>
  <si>
    <t>MUTOMBO LENGE</t>
  </si>
  <si>
    <t>Sld.Mais</t>
  </si>
  <si>
    <t>PL136</t>
  </si>
  <si>
    <t>ILUNGA MAYANGA</t>
  </si>
  <si>
    <t>LT209</t>
  </si>
  <si>
    <t>KAYEMBE MATHIEULA Corneille</t>
  </si>
  <si>
    <t>LT414</t>
  </si>
  <si>
    <t>KAYEMBE CIZIHIRA</t>
  </si>
  <si>
    <t>kayembek@unilu.ac.cd</t>
  </si>
  <si>
    <t>PL209</t>
  </si>
  <si>
    <t>KALUME TEANSA</t>
  </si>
  <si>
    <t>PL304</t>
  </si>
  <si>
    <t>MULIMBA LULA</t>
  </si>
  <si>
    <t>LT512</t>
  </si>
  <si>
    <t>KIZINGIRE NGOTI Blessing</t>
  </si>
  <si>
    <t>LT564</t>
  </si>
  <si>
    <t>MUSANGILAYI KASONGO</t>
  </si>
  <si>
    <t>LT092513</t>
  </si>
  <si>
    <t>BANTU KASONGO</t>
  </si>
  <si>
    <t>PL325</t>
  </si>
  <si>
    <t>MUZAMA MUSAMPUNGU</t>
  </si>
  <si>
    <t>ARIDJA BINTI MUSA</t>
  </si>
  <si>
    <t>LT104133</t>
  </si>
  <si>
    <t>ILUNGA NTUMBA</t>
  </si>
  <si>
    <t>LT104757</t>
  </si>
  <si>
    <t>KAMWANYA NTUMBA</t>
  </si>
  <si>
    <t>PL561</t>
  </si>
  <si>
    <t>KAMWANYA TSHIBANDA</t>
  </si>
  <si>
    <t>PL562</t>
  </si>
  <si>
    <t>KADIATA TSHIBANDA</t>
  </si>
  <si>
    <t>PL319</t>
  </si>
  <si>
    <t>YOWA ILUNGA</t>
  </si>
  <si>
    <t>PL611</t>
  </si>
  <si>
    <t>KAPINGA BEYA</t>
  </si>
  <si>
    <t>0906025862/0818818448</t>
  </si>
  <si>
    <t>LT558</t>
  </si>
  <si>
    <t>KIBUNDA MWENDA</t>
  </si>
  <si>
    <t>PL114352</t>
  </si>
  <si>
    <t>KAMWANGA KAYEMBE</t>
  </si>
  <si>
    <t>PL062</t>
  </si>
  <si>
    <t>KADIMA MARUKI</t>
  </si>
  <si>
    <t>PL003</t>
  </si>
  <si>
    <t>NGOMBA MARUKI</t>
  </si>
  <si>
    <t>PL725</t>
  </si>
  <si>
    <t>LT166</t>
  </si>
  <si>
    <t>KAMOSO BELAHINO</t>
  </si>
  <si>
    <t>0892108145/0810555340</t>
  </si>
  <si>
    <t>LT520</t>
  </si>
  <si>
    <t>Elviane KAMOSO</t>
  </si>
  <si>
    <t>PL077</t>
  </si>
  <si>
    <t>MULONGO KABUNDA</t>
  </si>
  <si>
    <t>LT366</t>
  </si>
  <si>
    <t>NTUMBA TUBWIDIKILE</t>
  </si>
  <si>
    <t>LT367</t>
  </si>
  <si>
    <t>BIBANANGI BEYA</t>
  </si>
  <si>
    <t>0995219669/0997689288</t>
  </si>
  <si>
    <t>LT368</t>
  </si>
  <si>
    <t>LOBO ILUNGA</t>
  </si>
  <si>
    <t>0997689288/0995219669</t>
  </si>
  <si>
    <t>LT142137</t>
  </si>
  <si>
    <t>KIBUNDULU KAPENGA</t>
  </si>
  <si>
    <t>PL153626</t>
  </si>
  <si>
    <t>NTUMBA KAYEMBE</t>
  </si>
  <si>
    <t>LT028</t>
  </si>
  <si>
    <t xml:space="preserve">LUYINDULA  MAYINDA </t>
  </si>
  <si>
    <t>0812525372;0819816218</t>
  </si>
  <si>
    <t>LT348</t>
  </si>
  <si>
    <t>MABUNGU MAYINDA</t>
  </si>
  <si>
    <t>LT540</t>
  </si>
  <si>
    <t>PL653</t>
  </si>
  <si>
    <t>TSHIDIBI BANZA</t>
  </si>
  <si>
    <t>1°HP</t>
  </si>
  <si>
    <t>PL585</t>
  </si>
  <si>
    <t>MUKADI KAZADI</t>
  </si>
  <si>
    <t>PL661</t>
  </si>
  <si>
    <t>MUJINGA NTUMBA</t>
  </si>
  <si>
    <t>PL155150</t>
  </si>
  <si>
    <t>Sld.Oct</t>
  </si>
  <si>
    <t>LT527</t>
  </si>
  <si>
    <t>AMANI SADIKI</t>
  </si>
  <si>
    <t>jocelynediur@gmail.com</t>
  </si>
  <si>
    <t>LT359</t>
  </si>
  <si>
    <t>LUSAMBA KAYEMBE</t>
  </si>
  <si>
    <t>LT428</t>
  </si>
  <si>
    <t>KANKU KAYEMBE</t>
  </si>
  <si>
    <t>LT427</t>
  </si>
  <si>
    <t>KABEYA KAYEMBE</t>
  </si>
  <si>
    <t>PL508</t>
  </si>
  <si>
    <t>NGALULA KANYIMBU</t>
  </si>
  <si>
    <t>LT195</t>
  </si>
  <si>
    <t xml:space="preserve">KISALA KANYIMBU </t>
  </si>
  <si>
    <t>serveuthanzie@gmail.com</t>
  </si>
  <si>
    <t>PL108</t>
  </si>
  <si>
    <t>KASONGO KAMUNGA</t>
  </si>
  <si>
    <t>PL729</t>
  </si>
  <si>
    <t>PL728</t>
  </si>
  <si>
    <t>PL152820</t>
  </si>
  <si>
    <t>TCHOMBE  UZANI</t>
  </si>
  <si>
    <t>LT004</t>
  </si>
  <si>
    <t>KABELA LONDWA</t>
  </si>
  <si>
    <t>PL375</t>
  </si>
  <si>
    <t xml:space="preserve">TSHISUKU KALUMBA </t>
  </si>
  <si>
    <t>0990528748 , 0970954799</t>
  </si>
  <si>
    <t>PL297</t>
  </si>
  <si>
    <t>MUJINGA KABEDI</t>
  </si>
  <si>
    <t>PL419</t>
  </si>
  <si>
    <t>KINKELA BENEDICTE</t>
  </si>
  <si>
    <t>LT358</t>
  </si>
  <si>
    <t>NTUMBA LUABA</t>
  </si>
  <si>
    <t>0973599044/0977666405</t>
  </si>
  <si>
    <t>0975055041/0974167653</t>
  </si>
  <si>
    <t>PL073</t>
  </si>
  <si>
    <t>CHIKURU LWABOSA</t>
  </si>
  <si>
    <t>LT482</t>
  </si>
  <si>
    <t>SIFA BIYOYIKI</t>
  </si>
  <si>
    <t>LT484</t>
  </si>
  <si>
    <t>NKOYILANDU BENAKEMBI</t>
  </si>
  <si>
    <t>LT033</t>
  </si>
  <si>
    <t>NZITA  BENANKEBI</t>
  </si>
  <si>
    <t>0810606805;0816098735</t>
  </si>
  <si>
    <t>LT483</t>
  </si>
  <si>
    <t>NAMULEKE BENAKEMBI</t>
  </si>
  <si>
    <t>PL088</t>
  </si>
  <si>
    <t>NGOYI KALOMBO</t>
  </si>
  <si>
    <t>PL154426</t>
  </si>
  <si>
    <t>MILOMBO EDWARD</t>
  </si>
  <si>
    <t>LT338</t>
  </si>
  <si>
    <t>MUJINGA WA MWIDIA</t>
  </si>
  <si>
    <t>cyrilmpongo11@gmail.com</t>
  </si>
  <si>
    <t>PL442</t>
  </si>
  <si>
    <t>KAPILA KAPILA</t>
  </si>
  <si>
    <t>M abd</t>
  </si>
  <si>
    <t>abd</t>
  </si>
  <si>
    <t>PL631</t>
  </si>
  <si>
    <t>NGYOMBO MIKULU</t>
  </si>
  <si>
    <t>PL377</t>
  </si>
  <si>
    <t>MASHING KAPEMB</t>
  </si>
  <si>
    <t>PL095</t>
  </si>
  <si>
    <t>MBAYO  ILUNGA</t>
  </si>
  <si>
    <t>PL204</t>
  </si>
  <si>
    <t>KAYEMBE KAYEMBE</t>
  </si>
  <si>
    <t>PL628</t>
  </si>
  <si>
    <t>MBOMBO KAYEMBE</t>
  </si>
  <si>
    <t>PL095436</t>
  </si>
  <si>
    <t>KAMANGA TSHONDO</t>
  </si>
  <si>
    <t>LT324</t>
  </si>
  <si>
    <t>MWENYIA KAMONAYI</t>
  </si>
  <si>
    <t>52 AV DE L EGLISE</t>
  </si>
  <si>
    <t>PL127</t>
  </si>
  <si>
    <t>JEANNE NGANDU SARAH</t>
  </si>
  <si>
    <t>PL059</t>
  </si>
  <si>
    <t>MUSA NGANDU</t>
  </si>
  <si>
    <t>LT459</t>
  </si>
  <si>
    <t>ESTHER NGANDU CHRISTELLA</t>
  </si>
  <si>
    <t>LT460</t>
  </si>
  <si>
    <t>AWEZAI NGANDU SARAH</t>
  </si>
  <si>
    <t>PL649</t>
  </si>
  <si>
    <t>ILUNGA MAKENA</t>
  </si>
  <si>
    <t>1°Elctro</t>
  </si>
  <si>
    <t>PL644</t>
  </si>
  <si>
    <t>ILUNGA KABANGE</t>
  </si>
  <si>
    <t>PL114</t>
  </si>
  <si>
    <t>KASONGO WA KALONDA</t>
  </si>
  <si>
    <t>LT310</t>
  </si>
  <si>
    <t>MUTOMBO KALONDA</t>
  </si>
  <si>
    <t>LT361</t>
  </si>
  <si>
    <t>ATATO OKITO</t>
  </si>
  <si>
    <t>PL064</t>
  </si>
  <si>
    <t>MWEPU MUJINGA</t>
  </si>
  <si>
    <t>0850299786/099977708</t>
  </si>
  <si>
    <t>PL102357</t>
  </si>
  <si>
    <t>BIKUNDA TSHINEMA</t>
  </si>
  <si>
    <t>PL101</t>
  </si>
  <si>
    <t>KASONGO MWANABUTE</t>
  </si>
  <si>
    <t>PL076</t>
  </si>
  <si>
    <t>MBUYU TSHIBANDA</t>
  </si>
  <si>
    <t>PL049</t>
  </si>
  <si>
    <t>MWADI MWANDA</t>
  </si>
  <si>
    <t>PL338</t>
  </si>
  <si>
    <t>BOLAVIE KATALAYI</t>
  </si>
  <si>
    <t>PL142817</t>
  </si>
  <si>
    <t>KON A MWAMB</t>
  </si>
  <si>
    <t>LT518</t>
  </si>
  <si>
    <t>Amelia NFUYA</t>
  </si>
  <si>
    <t>PL717</t>
  </si>
  <si>
    <t>NGOY ILUNGA</t>
  </si>
  <si>
    <t>LT451</t>
  </si>
  <si>
    <t>MUSWAMBA KALONJI</t>
  </si>
  <si>
    <t>LT452</t>
  </si>
  <si>
    <t>NDAYA KALONJI</t>
  </si>
  <si>
    <t>PL114521</t>
  </si>
  <si>
    <t>TSHUMBU BAZOLA</t>
  </si>
  <si>
    <t>0977352240/0977206595</t>
  </si>
  <si>
    <t>PL053</t>
  </si>
  <si>
    <t>IWOLO NGWEJ</t>
  </si>
  <si>
    <t>0810100909/081966799</t>
  </si>
  <si>
    <t>PL707</t>
  </si>
  <si>
    <t>MUSAU KASA</t>
  </si>
  <si>
    <t>LT056</t>
  </si>
  <si>
    <t xml:space="preserve">MWALI  HEMEDI  </t>
  </si>
  <si>
    <t>LT241</t>
  </si>
  <si>
    <t>MEDIA EMEDI</t>
  </si>
  <si>
    <t>LT461</t>
  </si>
  <si>
    <t>ILENGA EMEDI</t>
  </si>
  <si>
    <t>LT103212</t>
  </si>
  <si>
    <t>HEMEDI ANGELANI Jeanette</t>
  </si>
  <si>
    <t>LT112253</t>
  </si>
  <si>
    <t>Harmonie GALA MBOMBO</t>
  </si>
  <si>
    <t>NGALULA MWEPU</t>
  </si>
  <si>
    <t>0993235503/0978544380</t>
  </si>
  <si>
    <t>LT113735</t>
  </si>
  <si>
    <t>KABANGA MALUMBA</t>
  </si>
  <si>
    <t>0891643228/0850260066</t>
  </si>
  <si>
    <t>PL646</t>
  </si>
  <si>
    <t>MUNGABMA KYOTA</t>
  </si>
  <si>
    <t>0979994535/0970905488</t>
  </si>
  <si>
    <t>PL130103</t>
  </si>
  <si>
    <t>KABEMBA MUTEBA</t>
  </si>
  <si>
    <t>974445876/0976650662</t>
  </si>
  <si>
    <t>PL651</t>
  </si>
  <si>
    <t>NTANGA NTUMBA</t>
  </si>
  <si>
    <t>2024-2025</t>
  </si>
  <si>
    <t>LT567</t>
  </si>
  <si>
    <t>KAPOMPWA NKONKO</t>
  </si>
  <si>
    <t>0990999008/0974412181</t>
  </si>
  <si>
    <t>PL706</t>
  </si>
  <si>
    <t>NZUNGU KAHOZI</t>
  </si>
  <si>
    <t>PL343</t>
  </si>
  <si>
    <t>ILUNGA NKUBA</t>
  </si>
  <si>
    <t>PL648</t>
  </si>
  <si>
    <t>MWAPE KUNDA</t>
  </si>
  <si>
    <t>PL456</t>
  </si>
  <si>
    <t>MUBENESHAYI ILUNGA</t>
  </si>
  <si>
    <t>PL486</t>
  </si>
  <si>
    <t>NGOY TSHIMANGA</t>
  </si>
  <si>
    <t>LT444</t>
  </si>
  <si>
    <t>TSHIMANGA TSHIMANGA</t>
  </si>
  <si>
    <t>PL450</t>
  </si>
  <si>
    <t>KOKANA AMBOAKA</t>
  </si>
  <si>
    <t>PL448</t>
  </si>
  <si>
    <t>MATAMBA MATAMBA</t>
  </si>
  <si>
    <t>PL446</t>
  </si>
  <si>
    <t>MULANGA MATAMBA</t>
  </si>
  <si>
    <t>PL135236</t>
  </si>
  <si>
    <t>MBADILA BWASA</t>
  </si>
  <si>
    <t>LT502</t>
  </si>
  <si>
    <t>KABWIKA BARAKA</t>
  </si>
  <si>
    <t>LT550</t>
  </si>
  <si>
    <t>MOYONO TSHOKO</t>
  </si>
  <si>
    <t>PL405</t>
  </si>
  <si>
    <t>KANDOLO MUKENDI</t>
  </si>
  <si>
    <t>PL640</t>
  </si>
  <si>
    <t>NYEMBO KALONDA</t>
  </si>
  <si>
    <t>PL639</t>
  </si>
  <si>
    <t>NTAMBO KALONDA</t>
  </si>
  <si>
    <t>PL737</t>
  </si>
  <si>
    <t>KAYUMBA KALONDA</t>
  </si>
  <si>
    <t>PL130236</t>
  </si>
  <si>
    <t>MAVIDI TSHIMUNA</t>
  </si>
  <si>
    <t>LT131648</t>
  </si>
  <si>
    <t>MAVIDI NGOY</t>
  </si>
  <si>
    <t>NGOYI TSHIMUNA</t>
  </si>
  <si>
    <t>PL154215</t>
  </si>
  <si>
    <t>KITUBIKA  NTAMBWE</t>
  </si>
  <si>
    <t>PL113341</t>
  </si>
  <si>
    <t>MATINDA KABESA</t>
  </si>
  <si>
    <t>LT553</t>
  </si>
  <si>
    <t>KAYEMBE NTUMBA</t>
  </si>
  <si>
    <t>jacqueskilela@gmail.com</t>
  </si>
  <si>
    <t>LT458</t>
  </si>
  <si>
    <t>MUNUNGA LUKANU</t>
  </si>
  <si>
    <t>PL571</t>
  </si>
  <si>
    <t>MUKENDI DILENGA</t>
  </si>
  <si>
    <t>PL662</t>
  </si>
  <si>
    <t>LUAZI KAHOZI</t>
  </si>
  <si>
    <t>PL736</t>
  </si>
  <si>
    <t>KASONGO KASONGO B</t>
  </si>
  <si>
    <t>PL282</t>
  </si>
  <si>
    <t>SABI NGABIEM</t>
  </si>
  <si>
    <t>PL441</t>
  </si>
  <si>
    <t>NSENGA MUJINGA</t>
  </si>
  <si>
    <t>LT104203</t>
  </si>
  <si>
    <t>KALONJI KABWE Jeremie</t>
  </si>
  <si>
    <t>LT664</t>
  </si>
  <si>
    <t>IKONGO LOKWA</t>
  </si>
  <si>
    <t>PM</t>
  </si>
  <si>
    <t>LT120219</t>
  </si>
  <si>
    <t>LONGOLI LOKANGO Josh</t>
  </si>
  <si>
    <t>0987107758/0992264026</t>
  </si>
  <si>
    <t>LT145656</t>
  </si>
  <si>
    <t>LONGOLI LOMATA Nash</t>
  </si>
  <si>
    <t>LT011</t>
  </si>
  <si>
    <t>LUYEYE MANOKA</t>
  </si>
  <si>
    <t>PL495</t>
  </si>
  <si>
    <t>KANKOLONGO MAHIMBI</t>
  </si>
  <si>
    <t>LT038</t>
  </si>
  <si>
    <t>MUSAU KAMBA</t>
  </si>
  <si>
    <t>LT039</t>
  </si>
  <si>
    <t>NSENGA KAMBA</t>
  </si>
  <si>
    <t>PL105802</t>
  </si>
  <si>
    <t>TSHILANDA KAPILA</t>
  </si>
  <si>
    <t>PL461</t>
  </si>
  <si>
    <t>ILUNGA TSHILANDA</t>
  </si>
  <si>
    <t>Ac.Dec</t>
  </si>
  <si>
    <t>26.08</t>
  </si>
  <si>
    <t>Num</t>
  </si>
  <si>
    <t>Nom</t>
  </si>
  <si>
    <t>LT349</t>
  </si>
  <si>
    <t>KABUYAYA MALIKIDOGO</t>
  </si>
  <si>
    <t>PL217</t>
  </si>
  <si>
    <t>NGOYA KALALA</t>
  </si>
  <si>
    <t>tshomba.marck@gmail,com</t>
  </si>
  <si>
    <t>KATEMBO KYAVUYIRVE</t>
  </si>
  <si>
    <t>PL407</t>
  </si>
  <si>
    <t>KAMWANGALA MUKOLE</t>
  </si>
  <si>
    <t>853434885/0997937367</t>
  </si>
  <si>
    <t>LT383</t>
  </si>
  <si>
    <t>MONGA KIME Digrace</t>
  </si>
  <si>
    <t>LT188</t>
  </si>
  <si>
    <t xml:space="preserve">DJESSE KIME </t>
  </si>
  <si>
    <t>LT557</t>
  </si>
  <si>
    <t>TAMBO SIMUKE MADELEINE</t>
  </si>
  <si>
    <t>KINDA WA MAWESHO</t>
  </si>
  <si>
    <t>LT554</t>
  </si>
  <si>
    <t xml:space="preserve">MBAYO NGOYI </t>
  </si>
  <si>
    <t>PL704</t>
  </si>
  <si>
    <t>TSHISOLA MAHIRI</t>
  </si>
  <si>
    <t>PL605</t>
  </si>
  <si>
    <t>TSHAKWA MUKUTE</t>
  </si>
  <si>
    <t>PL424</t>
  </si>
  <si>
    <t>TSHITANDAYI BANGAMBA</t>
  </si>
  <si>
    <t>0855718178/0896063613</t>
  </si>
  <si>
    <t>graceilunga919@gmil.com</t>
  </si>
  <si>
    <t>LT475</t>
  </si>
  <si>
    <t>ILUNGA WA KIYAMBI GRANUS</t>
  </si>
  <si>
    <t>LT429</t>
  </si>
  <si>
    <t>MULUMBA BINKU</t>
  </si>
  <si>
    <t>PL153934</t>
  </si>
  <si>
    <t>TSHISOLA MWENYA</t>
  </si>
  <si>
    <t>nathaliempunga1@gmail,com</t>
  </si>
  <si>
    <t>silviekayumba41@gmail.com</t>
  </si>
  <si>
    <t>kalengamwabanya@gmail.com</t>
  </si>
  <si>
    <t>LT499</t>
  </si>
  <si>
    <t>LUSHIMA OKITO</t>
  </si>
  <si>
    <t>0823235854/0810642996</t>
  </si>
  <si>
    <t>LT114742</t>
  </si>
  <si>
    <t>IKWATA LOKWA Light</t>
  </si>
  <si>
    <t>PL208</t>
  </si>
  <si>
    <t>NOWA TSHELA</t>
  </si>
  <si>
    <t>PL114808</t>
  </si>
  <si>
    <t>KITENGE KALENGA</t>
  </si>
  <si>
    <t>LT090225</t>
  </si>
  <si>
    <t>PEMBA NGOMA</t>
  </si>
  <si>
    <t>ngandulunda710@gmail.com</t>
  </si>
  <si>
    <t>ZINGIRE NGOTI Blessing</t>
  </si>
  <si>
    <t>LT131720</t>
  </si>
  <si>
    <t>META NGOMB</t>
  </si>
  <si>
    <t>LT120809</t>
  </si>
  <si>
    <t>MADIATA TSHINYAMA Rashid</t>
  </si>
  <si>
    <t>Ac.Janv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</si>
</sst>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[$FC-240C]"/>
    <numFmt numFmtId="165" formatCode="[$$-409]#,##0.00"/>
    <numFmt numFmtId="166" formatCode="[$-1240C]dd/mm/yyyy;@"/>
    <numFmt numFmtId="167" formatCode="_-* #,##0.00\ [$FC-240C]_-;\-* #,##0.00\ [$FC-240C]_-;_-* &quot;-&quot;??\ [$FC-240C]_-;_-@_-"/>
    <numFmt numFmtId="168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  <font>
      <b/>
      <sz val="14"/>
      <color rgb="FFFF0000"/>
      <name val="Bookman Old Style"/>
      <family val="1"/>
    </font>
    <font>
      <b/>
      <sz val="16"/>
      <color rgb="FFFF0000"/>
      <name val="Bookman Old Style"/>
      <family val="1"/>
    </font>
    <font>
      <b/>
      <sz val="12"/>
      <color theme="9" tint="-0.249977111117893"/>
      <name val="Bookman Old Style"/>
      <family val="1"/>
    </font>
    <font>
      <b/>
      <sz val="12"/>
      <color theme="1"/>
      <name val="Baskerville Old Face"/>
      <family val="1"/>
    </font>
    <font>
      <b/>
      <sz val="14"/>
      <color theme="1"/>
      <name val="Bookman Old Style"/>
      <family val="1"/>
    </font>
    <font>
      <sz val="12"/>
      <color theme="1"/>
      <name val="Bodoni MT"/>
      <family val="1"/>
    </font>
    <font>
      <sz val="12"/>
      <name val="Bookman Old Style"/>
      <family val="1"/>
    </font>
    <font>
      <sz val="12"/>
      <color theme="1"/>
      <name val="Calibri"/>
      <family val="2"/>
      <scheme val="minor"/>
    </font>
    <font>
      <b/>
      <sz val="11"/>
      <color theme="0"/>
      <name val="Bahnschrift Light SemiCondensed"/>
      <family val="2"/>
    </font>
    <font>
      <b/>
      <sz val="11"/>
      <color theme="0"/>
      <name val="Bahnschrift SemiLight SemiConde"/>
      <family val="2"/>
    </font>
    <font>
      <b/>
      <sz val="11"/>
      <color theme="1"/>
      <name val="Bahnschrift SemiLight SemiConde"/>
      <family val="2"/>
    </font>
    <font>
      <b/>
      <sz val="11"/>
      <color theme="1"/>
      <name val="Bookman Old Style"/>
      <family val="1"/>
    </font>
    <font>
      <sz val="14"/>
      <color theme="1"/>
      <name val="BatangChe"/>
      <family val="3"/>
    </font>
    <font>
      <b/>
      <sz val="12"/>
      <color theme="1"/>
      <name val="Bookman Old Style"/>
      <family val="1"/>
    </font>
    <font>
      <sz val="12"/>
      <color rgb="FF000000"/>
      <name val="Bookman Old Style"/>
      <family val="1"/>
    </font>
  </fonts>
  <fills count="23">
    <fill>
      <patternFill patternType="none"/>
    </fill>
    <fill>
      <patternFill patternType="gray125"/>
    </fill>
    <fill>
      <patternFill patternType="lightTrellis"/>
    </fill>
    <fill>
      <gradientFill type="path">
        <stop position="0">
          <color theme="9" tint="-0.49803155613879818"/>
        </stop>
        <stop position="1">
          <color theme="0"/>
        </stop>
      </gradientFill>
    </fill>
    <fill>
      <patternFill patternType="lightGray"/>
    </fill>
    <fill>
      <gradientFill type="path">
        <stop position="0">
          <color theme="1"/>
        </stop>
        <stop position="1">
          <color theme="0"/>
        </stop>
      </gradient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3F8DC"/>
        <bgColor indexed="64"/>
      </patternFill>
    </fill>
    <fill>
      <patternFill patternType="solid">
        <fgColor theme="7"/>
        <bgColor indexed="64"/>
      </patternFill>
    </fill>
    <fill>
      <gradientFill type="path">
        <stop position="0">
          <color theme="7" tint="-0.49803155613879818"/>
        </stop>
        <stop position="1">
          <color theme="0" tint="-5.0965910824915313E-2"/>
        </stop>
      </gradientFill>
    </fill>
    <fill>
      <patternFill patternType="solid">
        <fgColor indexed="65"/>
        <bgColor indexed="64"/>
      </patternFill>
    </fill>
    <fill>
      <patternFill patternType="darkTrellis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auto="1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thick">
        <color theme="4" tint="-0.24994659260841701"/>
      </left>
      <right style="thick">
        <color theme="4" tint="-0.24994659260841701"/>
      </right>
      <top style="thick">
        <color theme="4" tint="-0.24994659260841701"/>
      </top>
      <bottom style="thick">
        <color theme="4" tint="-0.24994659260841701"/>
      </bottom>
      <diagonal/>
    </border>
    <border>
      <left style="thick">
        <color rgb="FFEBCAF2"/>
      </left>
      <right style="thick">
        <color rgb="FFEBCAF2"/>
      </right>
      <top style="thick">
        <color rgb="FFEBCAF2"/>
      </top>
      <bottom style="thick">
        <color rgb="FFEBCA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14" fontId="1" fillId="2" borderId="0" xfId="0" applyNumberFormat="1" applyFon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4" fillId="0" borderId="1" xfId="0" applyFont="1" applyBorder="1" applyProtection="1">
      <protection locked="0"/>
    </xf>
    <xf numFmtId="0" fontId="1" fillId="3" borderId="0" xfId="0" applyFont="1" applyFill="1" applyAlignment="1" applyProtection="1">
      <alignment horizontal="center"/>
      <protection locked="0"/>
    </xf>
    <xf numFmtId="14" fontId="1" fillId="3" borderId="0" xfId="0" applyNumberFormat="1" applyFont="1" applyFill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3" borderId="0" xfId="0" applyFont="1" applyFill="1" applyProtection="1"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7" fillId="0" borderId="4" xfId="0" applyFont="1" applyBorder="1" applyProtection="1">
      <protection locked="0"/>
    </xf>
    <xf numFmtId="14" fontId="0" fillId="0" borderId="0" xfId="0" applyNumberFormat="1" applyProtection="1"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0" fillId="5" borderId="0" xfId="0" applyFill="1" applyAlignment="1" applyProtection="1">
      <alignment horizontal="right" vertical="center"/>
      <protection locked="0"/>
    </xf>
    <xf numFmtId="14" fontId="0" fillId="5" borderId="0" xfId="0" applyNumberFormat="1" applyFill="1" applyAlignment="1" applyProtection="1">
      <alignment horizontal="right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14" fontId="0" fillId="0" borderId="7" xfId="0" applyNumberFormat="1" applyBorder="1" applyAlignment="1" applyProtection="1">
      <alignment horizontal="center"/>
      <protection locked="0"/>
    </xf>
    <xf numFmtId="0" fontId="2" fillId="9" borderId="0" xfId="0" applyFont="1" applyFill="1" applyAlignment="1" applyProtection="1">
      <alignment horizontal="center"/>
      <protection locked="0"/>
    </xf>
    <xf numFmtId="0" fontId="10" fillId="10" borderId="0" xfId="0" applyFont="1" applyFill="1" applyAlignment="1" applyProtection="1">
      <alignment horizontal="center"/>
      <protection locked="0"/>
    </xf>
    <xf numFmtId="1" fontId="0" fillId="11" borderId="0" xfId="0" applyNumberFormat="1" applyFill="1" applyAlignment="1" applyProtection="1">
      <alignment horizontal="center"/>
      <protection locked="0"/>
    </xf>
    <xf numFmtId="167" fontId="0" fillId="12" borderId="0" xfId="0" applyNumberFormat="1" applyFill="1" applyAlignment="1" applyProtection="1">
      <alignment horizontal="center"/>
      <protection locked="0"/>
    </xf>
    <xf numFmtId="165" fontId="0" fillId="10" borderId="0" xfId="0" applyNumberFormat="1" applyFill="1" applyAlignment="1" applyProtection="1">
      <alignment horizontal="center"/>
      <protection locked="0"/>
    </xf>
    <xf numFmtId="14" fontId="0" fillId="13" borderId="0" xfId="0" applyNumberFormat="1" applyFill="1" applyAlignment="1" applyProtection="1">
      <alignment horizontal="center"/>
      <protection locked="0"/>
    </xf>
    <xf numFmtId="1" fontId="0" fillId="14" borderId="0" xfId="0" applyNumberFormat="1" applyFill="1" applyAlignment="1" applyProtection="1">
      <alignment horizontal="center"/>
      <protection locked="0"/>
    </xf>
    <xf numFmtId="14" fontId="0" fillId="9" borderId="0" xfId="0" applyNumberFormat="1" applyFill="1" applyAlignment="1" applyProtection="1">
      <alignment horizontal="center"/>
      <protection locked="0"/>
    </xf>
    <xf numFmtId="14" fontId="0" fillId="12" borderId="0" xfId="0" applyNumberFormat="1" applyFill="1" applyAlignment="1" applyProtection="1">
      <alignment horizontal="center"/>
      <protection locked="0"/>
    </xf>
    <xf numFmtId="14" fontId="0" fillId="15" borderId="0" xfId="0" applyNumberFormat="1" applyFill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10" borderId="0" xfId="0" applyFill="1" applyProtection="1">
      <protection locked="0"/>
    </xf>
    <xf numFmtId="14" fontId="0" fillId="12" borderId="0" xfId="0" applyNumberFormat="1" applyFill="1" applyProtection="1">
      <protection locked="0"/>
    </xf>
    <xf numFmtId="0" fontId="11" fillId="17" borderId="0" xfId="0" applyFont="1" applyFill="1" applyAlignment="1" applyProtection="1">
      <alignment horizontal="center"/>
      <protection locked="0"/>
    </xf>
    <xf numFmtId="0" fontId="12" fillId="17" borderId="0" xfId="0" applyFont="1" applyFill="1" applyAlignment="1" applyProtection="1">
      <alignment horizontal="center"/>
      <protection locked="0"/>
    </xf>
    <xf numFmtId="22" fontId="0" fillId="0" borderId="0" xfId="0" applyNumberForma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0" borderId="8" xfId="0" applyFont="1" applyBorder="1" applyAlignment="1" applyProtection="1">
      <alignment horizontal="center"/>
      <protection locked="0"/>
    </xf>
    <xf numFmtId="0" fontId="0" fillId="18" borderId="0" xfId="0" applyFill="1" applyProtection="1">
      <protection locked="0"/>
    </xf>
    <xf numFmtId="0" fontId="0" fillId="19" borderId="0" xfId="0" applyFill="1" applyProtection="1"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0" fontId="0" fillId="19" borderId="0" xfId="0" applyFill="1" applyAlignment="1" applyProtection="1">
      <alignment horizontal="center"/>
      <protection locked="0"/>
    </xf>
    <xf numFmtId="0" fontId="0" fillId="19" borderId="0" xfId="0" applyFill="1" applyAlignment="1" applyProtection="1">
      <alignment horizontal="center" vertical="center"/>
      <protection locked="0"/>
    </xf>
    <xf numFmtId="0" fontId="2" fillId="4" borderId="0" xfId="0" applyFont="1" applyFill="1" applyProtection="1">
      <protection locked="0"/>
    </xf>
    <xf numFmtId="0" fontId="1" fillId="0" borderId="5" xfId="0" applyFont="1" applyBorder="1" applyProtection="1">
      <protection locked="0"/>
    </xf>
    <xf numFmtId="0" fontId="0" fillId="0" borderId="6" xfId="0" applyBorder="1" applyProtection="1">
      <protection locked="0"/>
    </xf>
    <xf numFmtId="0" fontId="15" fillId="20" borderId="0" xfId="0" applyFont="1" applyFill="1" applyAlignment="1" applyProtection="1">
      <alignment horizontal="center" vertical="center"/>
      <protection locked="0"/>
    </xf>
    <xf numFmtId="0" fontId="15" fillId="18" borderId="0" xfId="0" applyFont="1" applyFill="1" applyAlignment="1" applyProtection="1">
      <alignment horizontal="center" vertical="center"/>
      <protection locked="0"/>
    </xf>
    <xf numFmtId="0" fontId="15" fillId="21" borderId="0" xfId="0" applyFont="1" applyFill="1" applyAlignment="1" applyProtection="1">
      <alignment horizontal="center" vertical="center"/>
      <protection locked="0"/>
    </xf>
    <xf numFmtId="0" fontId="0" fillId="19" borderId="12" xfId="0" applyFill="1" applyBorder="1" applyProtection="1">
      <protection locked="0"/>
    </xf>
    <xf numFmtId="168" fontId="0" fillId="0" borderId="0" xfId="0" applyNumberFormat="1" applyAlignment="1" applyProtection="1">
      <alignment horizontal="center"/>
      <protection locked="0"/>
    </xf>
    <xf numFmtId="14" fontId="14" fillId="0" borderId="11" xfId="0" applyNumberFormat="1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4" fillId="0" borderId="10" xfId="0" applyFont="1" applyBorder="1" applyAlignment="1" applyProtection="1">
      <alignment horizontal="left"/>
      <protection locked="0"/>
    </xf>
    <xf numFmtId="14" fontId="2" fillId="0" borderId="10" xfId="0" applyNumberFormat="1" applyFont="1" applyBorder="1" applyAlignment="1" applyProtection="1">
      <alignment horizontal="left"/>
      <protection locked="0"/>
    </xf>
    <xf numFmtId="14" fontId="2" fillId="0" borderId="9" xfId="0" applyNumberFormat="1" applyFont="1" applyBorder="1" applyAlignment="1" applyProtection="1">
      <alignment horizontal="left"/>
      <protection locked="0"/>
    </xf>
    <xf numFmtId="14" fontId="14" fillId="0" borderId="9" xfId="0" applyNumberFormat="1" applyFont="1" applyBorder="1" applyAlignment="1" applyProtection="1">
      <alignment horizontal="left"/>
      <protection locked="0"/>
    </xf>
    <xf numFmtId="0" fontId="2" fillId="22" borderId="0" xfId="0" applyFont="1" applyFill="1" applyProtection="1">
      <protection locked="0"/>
    </xf>
    <xf numFmtId="0" fontId="16" fillId="5" borderId="1" xfId="0" applyFont="1" applyFill="1" applyBorder="1" applyAlignment="1" applyProtection="1">
      <alignment horizontal="center"/>
      <protection locked="0"/>
    </xf>
    <xf numFmtId="165" fontId="2" fillId="0" borderId="13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14" fontId="0" fillId="0" borderId="0" xfId="0" applyNumberFormat="1" applyBorder="1" applyAlignment="1" applyProtection="1">
      <alignment horizontal="center"/>
      <protection locked="0"/>
    </xf>
    <xf numFmtId="0" fontId="8" fillId="2" borderId="16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8" fillId="2" borderId="17" xfId="0" applyFont="1" applyFill="1" applyBorder="1" applyAlignment="1" applyProtection="1">
      <alignment horizontal="center" vertical="center"/>
      <protection locked="0"/>
    </xf>
    <xf numFmtId="14" fontId="14" fillId="0" borderId="0" xfId="0" applyNumberFormat="1" applyFont="1" applyBorder="1" applyAlignment="1" applyProtection="1">
      <alignment horizontal="left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2" fillId="8" borderId="18" xfId="0" applyFont="1" applyFill="1" applyBorder="1" applyAlignment="1" applyProtection="1">
      <alignment horizontal="center"/>
      <protection locked="0"/>
    </xf>
    <xf numFmtId="0" fontId="2" fillId="7" borderId="18" xfId="0" applyFont="1" applyFill="1" applyBorder="1" applyProtection="1">
      <protection locked="0"/>
    </xf>
    <xf numFmtId="0" fontId="2" fillId="7" borderId="18" xfId="0" applyFont="1" applyFill="1" applyBorder="1" applyAlignment="1" applyProtection="1">
      <alignment horizontal="center" vertical="center"/>
      <protection locked="0"/>
    </xf>
    <xf numFmtId="0" fontId="2" fillId="7" borderId="18" xfId="0" applyFont="1" applyFill="1" applyBorder="1" applyAlignment="1" applyProtection="1">
      <alignment horizontal="center"/>
      <protection locked="0"/>
    </xf>
    <xf numFmtId="14" fontId="1" fillId="7" borderId="18" xfId="0" applyNumberFormat="1" applyFont="1" applyFill="1" applyBorder="1" applyAlignment="1" applyProtection="1">
      <alignment horizontal="center"/>
      <protection locked="0"/>
    </xf>
    <xf numFmtId="166" fontId="1" fillId="7" borderId="18" xfId="0" applyNumberFormat="1" applyFont="1" applyFill="1" applyBorder="1" applyAlignment="1" applyProtection="1">
      <alignment horizontal="center"/>
      <protection locked="0"/>
    </xf>
    <xf numFmtId="14" fontId="1" fillId="6" borderId="18" xfId="0" applyNumberFormat="1" applyFont="1" applyFill="1" applyBorder="1" applyAlignment="1" applyProtection="1">
      <alignment horizontal="center"/>
      <protection locked="0"/>
    </xf>
    <xf numFmtId="14" fontId="2" fillId="7" borderId="18" xfId="0" applyNumberFormat="1" applyFont="1" applyFill="1" applyBorder="1" applyAlignment="1" applyProtection="1">
      <alignment horizontal="center" vertical="center"/>
      <protection locked="0"/>
    </xf>
    <xf numFmtId="166" fontId="2" fillId="7" borderId="18" xfId="0" applyNumberFormat="1" applyFont="1" applyFill="1" applyBorder="1" applyAlignment="1" applyProtection="1">
      <alignment horizontal="center" vertical="center"/>
      <protection locked="0"/>
    </xf>
    <xf numFmtId="14" fontId="2" fillId="6" borderId="18" xfId="0" applyNumberFormat="1" applyFont="1" applyFill="1" applyBorder="1" applyAlignment="1" applyProtection="1">
      <alignment horizontal="center" vertical="center"/>
      <protection locked="0"/>
    </xf>
    <xf numFmtId="0" fontId="1" fillId="6" borderId="18" xfId="0" applyFont="1" applyFill="1" applyBorder="1" applyAlignment="1" applyProtection="1">
      <alignment horizontal="center"/>
      <protection locked="0"/>
    </xf>
    <xf numFmtId="14" fontId="2" fillId="7" borderId="18" xfId="0" applyNumberFormat="1" applyFont="1" applyFill="1" applyBorder="1" applyAlignment="1" applyProtection="1">
      <alignment horizontal="center"/>
      <protection locked="0"/>
    </xf>
    <xf numFmtId="166" fontId="2" fillId="7" borderId="18" xfId="0" applyNumberFormat="1" applyFont="1" applyFill="1" applyBorder="1" applyAlignment="1" applyProtection="1">
      <alignment horizontal="center"/>
      <protection locked="0"/>
    </xf>
    <xf numFmtId="0" fontId="2" fillId="6" borderId="18" xfId="0" applyFont="1" applyFill="1" applyBorder="1" applyAlignment="1" applyProtection="1">
      <alignment horizontal="center"/>
      <protection locked="0"/>
    </xf>
    <xf numFmtId="14" fontId="2" fillId="6" borderId="18" xfId="0" applyNumberFormat="1" applyFont="1" applyFill="1" applyBorder="1" applyAlignment="1" applyProtection="1">
      <alignment horizontal="center"/>
      <protection locked="0"/>
    </xf>
    <xf numFmtId="0" fontId="2" fillId="16" borderId="18" xfId="0" applyFont="1" applyFill="1" applyBorder="1" applyAlignment="1" applyProtection="1">
      <alignment horizontal="center"/>
      <protection locked="0"/>
    </xf>
    <xf numFmtId="0" fontId="1" fillId="7" borderId="18" xfId="0" applyFont="1" applyFill="1" applyBorder="1" applyAlignment="1" applyProtection="1">
      <alignment horizontal="center"/>
      <protection locked="0"/>
    </xf>
    <xf numFmtId="0" fontId="2" fillId="8" borderId="18" xfId="0" applyFont="1" applyFill="1" applyBorder="1" applyAlignment="1" applyProtection="1">
      <alignment horizontal="center" vertical="center"/>
      <protection locked="0"/>
    </xf>
    <xf numFmtId="0" fontId="9" fillId="7" borderId="18" xfId="0" applyFont="1" applyFill="1" applyBorder="1" applyAlignment="1" applyProtection="1">
      <alignment horizontal="center"/>
      <protection locked="0"/>
    </xf>
    <xf numFmtId="0" fontId="9" fillId="7" borderId="18" xfId="0" applyFont="1" applyFill="1" applyBorder="1" applyAlignment="1" applyProtection="1">
      <alignment horizontal="center" vertical="center"/>
      <protection locked="0"/>
    </xf>
    <xf numFmtId="0" fontId="0" fillId="7" borderId="18" xfId="0" applyFill="1" applyBorder="1" applyAlignment="1" applyProtection="1">
      <alignment horizontal="center"/>
      <protection locked="0"/>
    </xf>
    <xf numFmtId="0" fontId="0" fillId="7" borderId="18" xfId="0" applyFill="1" applyBorder="1" applyProtection="1">
      <protection locked="0"/>
    </xf>
    <xf numFmtId="0" fontId="0" fillId="7" borderId="18" xfId="0" applyFill="1" applyBorder="1" applyAlignment="1" applyProtection="1">
      <alignment horizontal="center" vertical="center"/>
      <protection locked="0"/>
    </xf>
    <xf numFmtId="0" fontId="1" fillId="7" borderId="18" xfId="0" applyFont="1" applyFill="1" applyBorder="1" applyProtection="1">
      <protection locked="0"/>
    </xf>
    <xf numFmtId="0" fontId="1" fillId="7" borderId="18" xfId="0" applyFont="1" applyFill="1" applyBorder="1" applyAlignment="1" applyProtection="1">
      <alignment horizontal="center" vertical="center"/>
      <protection locked="0"/>
    </xf>
    <xf numFmtId="1" fontId="2" fillId="7" borderId="18" xfId="0" applyNumberFormat="1" applyFont="1" applyFill="1" applyBorder="1" applyAlignment="1" applyProtection="1">
      <alignment horizontal="center" vertical="center"/>
      <protection locked="0"/>
    </xf>
    <xf numFmtId="0" fontId="2" fillId="7" borderId="18" xfId="0" applyFont="1" applyFill="1" applyBorder="1" applyAlignment="1" applyProtection="1">
      <alignment horizontal="left"/>
      <protection locked="0"/>
    </xf>
    <xf numFmtId="0" fontId="2" fillId="21" borderId="18" xfId="0" applyFont="1" applyFill="1" applyBorder="1" applyAlignment="1" applyProtection="1">
      <alignment horizontal="center" vertical="center"/>
      <protection locked="0"/>
    </xf>
    <xf numFmtId="0" fontId="17" fillId="7" borderId="18" xfId="0" applyFont="1" applyFill="1" applyBorder="1" applyAlignment="1" applyProtection="1">
      <alignment horizontal="center" vertic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Protection="1">
      <protection locked="0"/>
    </xf>
    <xf numFmtId="0" fontId="2" fillId="7" borderId="19" xfId="0" applyFont="1" applyFill="1" applyBorder="1" applyAlignment="1" applyProtection="1">
      <alignment horizontal="center" vertical="center"/>
      <protection locked="0"/>
    </xf>
    <xf numFmtId="14" fontId="1" fillId="7" borderId="19" xfId="0" applyNumberFormat="1" applyFont="1" applyFill="1" applyBorder="1" applyAlignment="1" applyProtection="1">
      <alignment horizontal="center"/>
      <protection locked="0"/>
    </xf>
    <xf numFmtId="166" fontId="1" fillId="7" borderId="19" xfId="0" applyNumberFormat="1" applyFont="1" applyFill="1" applyBorder="1" applyAlignment="1" applyProtection="1">
      <alignment horizontal="center"/>
      <protection locked="0"/>
    </xf>
    <xf numFmtId="0" fontId="1" fillId="6" borderId="19" xfId="0" applyFont="1" applyFill="1" applyBorder="1" applyAlignment="1" applyProtection="1">
      <alignment horizontal="center"/>
      <protection locked="0"/>
    </xf>
    <xf numFmtId="14" fontId="1" fillId="6" borderId="19" xfId="0" applyNumberFormat="1" applyFont="1" applyFill="1" applyBorder="1" applyAlignment="1" applyProtection="1">
      <alignment horizontal="center"/>
      <protection locked="0"/>
    </xf>
    <xf numFmtId="164" fontId="0" fillId="0" borderId="1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000000"/>
          <bgColor rgb="FFFFFFFF"/>
        </patternFill>
      </fill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ill>
        <patternFill patternType="solid">
          <fgColor rgb="FF000000"/>
          <bgColor rgb="FFFFFFFF"/>
        </patternFill>
      </fill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166" formatCode="[$-1240C]dd/mm/yy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>
        <left style="dashed">
          <color theme="4"/>
        </left>
        <right style="dashed">
          <color theme="4"/>
        </right>
        <top style="dashed">
          <color theme="4"/>
        </top>
        <bottom style="dashed">
          <color theme="4"/>
        </bottom>
        <vertical style="dashed">
          <color theme="4"/>
        </vertical>
        <horizontal style="dashed">
          <color theme="4"/>
        </horizontal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  <protection locked="0" hidden="0"/>
    </dxf>
    <dxf>
      <border outline="0">
        <bottom style="thin">
          <color rgb="FF000000"/>
        </bottom>
      </border>
    </dxf>
    <dxf>
      <alignment horizontal="left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384273</xdr:colOff>
      <xdr:row>0</xdr:row>
      <xdr:rowOff>140180</xdr:rowOff>
    </xdr:from>
    <xdr:to>
      <xdr:col>40</xdr:col>
      <xdr:colOff>560918</xdr:colOff>
      <xdr:row>2</xdr:row>
      <xdr:rowOff>83030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3FCFA65-6EF7-44D1-BA90-490A8EDE5B10}"/>
            </a:ext>
          </a:extLst>
        </xdr:cNvPr>
        <xdr:cNvSpPr txBox="1"/>
      </xdr:nvSpPr>
      <xdr:spPr>
        <a:xfrm>
          <a:off x="23145213" y="140180"/>
          <a:ext cx="8810105" cy="30861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=SIERREUR(INDEX(BJ;EQUIV($P$6;$B$9:$B$1426;0);10);" BJ 2K")</a:t>
          </a:r>
        </a:p>
      </xdr:txBody>
    </xdr:sp>
    <xdr:clientData/>
  </xdr:twoCellAnchor>
  <xdr:twoCellAnchor>
    <xdr:from>
      <xdr:col>40</xdr:col>
      <xdr:colOff>213013</xdr:colOff>
      <xdr:row>0</xdr:row>
      <xdr:rowOff>89188</xdr:rowOff>
    </xdr:from>
    <xdr:to>
      <xdr:col>50</xdr:col>
      <xdr:colOff>241589</xdr:colOff>
      <xdr:row>2</xdr:row>
      <xdr:rowOff>32038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EDD5DA3C-3EEE-477A-99CE-2E01AD31B148}"/>
            </a:ext>
          </a:extLst>
        </xdr:cNvPr>
        <xdr:cNvSpPr txBox="1"/>
      </xdr:nvSpPr>
      <xdr:spPr>
        <a:xfrm>
          <a:off x="31607413" y="89188"/>
          <a:ext cx="7877176" cy="30861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=INDEX(BJ[DATE];PETITE.VALEUR(SI($P$6=BJ[NOM -POSTNOM];LIGNE(BJ[NOM -POSTNOM])-MIN(LIGNE($B$9))+1;"");1))</a:t>
          </a:r>
        </a:p>
      </xdr:txBody>
    </xdr:sp>
    <xdr:clientData/>
  </xdr:twoCellAnchor>
  <xdr:twoCellAnchor>
    <xdr:from>
      <xdr:col>50</xdr:col>
      <xdr:colOff>400050</xdr:colOff>
      <xdr:row>1</xdr:row>
      <xdr:rowOff>47625</xdr:rowOff>
    </xdr:from>
    <xdr:to>
      <xdr:col>55</xdr:col>
      <xdr:colOff>581025</xdr:colOff>
      <xdr:row>2</xdr:row>
      <xdr:rowOff>180975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1AF168A-3F19-4591-8A57-0FDD4370DC3E}"/>
            </a:ext>
          </a:extLst>
        </xdr:cNvPr>
        <xdr:cNvSpPr txBox="1"/>
      </xdr:nvSpPr>
      <xdr:spPr>
        <a:xfrm>
          <a:off x="39643050" y="230505"/>
          <a:ext cx="4105275" cy="31623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=PETITE.VALEUR($R$12:$R$19;LIGNES(N$24:N24))</a:t>
          </a:r>
        </a:p>
      </xdr:txBody>
    </xdr:sp>
    <xdr:clientData/>
  </xdr:twoCellAnchor>
  <xdr:twoCellAnchor>
    <xdr:from>
      <xdr:col>40</xdr:col>
      <xdr:colOff>250825</xdr:colOff>
      <xdr:row>3</xdr:row>
      <xdr:rowOff>45508</xdr:rowOff>
    </xdr:from>
    <xdr:to>
      <xdr:col>41</xdr:col>
      <xdr:colOff>455084</xdr:colOff>
      <xdr:row>4</xdr:row>
      <xdr:rowOff>35983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BFF25E8D-0F42-46E9-8054-54FF2067FFCD}"/>
            </a:ext>
          </a:extLst>
        </xdr:cNvPr>
        <xdr:cNvSpPr txBox="1"/>
      </xdr:nvSpPr>
      <xdr:spPr>
        <a:xfrm>
          <a:off x="31645225" y="594148"/>
          <a:ext cx="989119" cy="173355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Automatique avec Petite Valeur</a:t>
          </a:r>
        </a:p>
      </xdr:txBody>
    </xdr:sp>
    <xdr:clientData/>
  </xdr:twoCellAnchor>
  <xdr:twoCellAnchor>
    <xdr:from>
      <xdr:col>38</xdr:col>
      <xdr:colOff>868891</xdr:colOff>
      <xdr:row>6</xdr:row>
      <xdr:rowOff>74083</xdr:rowOff>
    </xdr:from>
    <xdr:to>
      <xdr:col>40</xdr:col>
      <xdr:colOff>1517650</xdr:colOff>
      <xdr:row>7</xdr:row>
      <xdr:rowOff>64558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C445B331-1685-47E3-8F18-CBE5649AD6AB}"/>
            </a:ext>
          </a:extLst>
        </xdr:cNvPr>
        <xdr:cNvSpPr txBox="1"/>
      </xdr:nvSpPr>
      <xdr:spPr>
        <a:xfrm>
          <a:off x="30609751" y="1171363"/>
          <a:ext cx="1570779" cy="173355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Manuelle avec INDEX .............</a:t>
          </a:r>
        </a:p>
      </xdr:txBody>
    </xdr:sp>
    <xdr:clientData/>
  </xdr:twoCellAnchor>
  <xdr:twoCellAnchor>
    <xdr:from>
      <xdr:col>44</xdr:col>
      <xdr:colOff>576792</xdr:colOff>
      <xdr:row>4</xdr:row>
      <xdr:rowOff>141817</xdr:rowOff>
    </xdr:from>
    <xdr:to>
      <xdr:col>48</xdr:col>
      <xdr:colOff>135466</xdr:colOff>
      <xdr:row>5</xdr:row>
      <xdr:rowOff>132292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8B1B8916-CA1A-420F-8173-EC2730C88AE1}"/>
            </a:ext>
          </a:extLst>
        </xdr:cNvPr>
        <xdr:cNvSpPr txBox="1"/>
      </xdr:nvSpPr>
      <xdr:spPr>
        <a:xfrm>
          <a:off x="35110632" y="873337"/>
          <a:ext cx="2698114" cy="173355"/>
        </a:xfrm>
        <a:prstGeom prst="rect">
          <a:avLst/>
        </a:prstGeom>
        <a:solidFill>
          <a:schemeClr val="lt1"/>
        </a:solidFill>
        <a:ln w="95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Manuelle avec INDEX ,EQUIV</a:t>
          </a:r>
        </a:p>
      </xdr:txBody>
    </xdr:sp>
    <xdr:clientData/>
  </xdr:twoCellAnchor>
  <xdr:twoCellAnchor>
    <xdr:from>
      <xdr:col>44</xdr:col>
      <xdr:colOff>51857</xdr:colOff>
      <xdr:row>5</xdr:row>
      <xdr:rowOff>180976</xdr:rowOff>
    </xdr:from>
    <xdr:to>
      <xdr:col>47</xdr:col>
      <xdr:colOff>651932</xdr:colOff>
      <xdr:row>8</xdr:row>
      <xdr:rowOff>19050</xdr:rowOff>
    </xdr:to>
    <xdr:sp macro="" textlink="$AO$6">
      <xdr:nvSpPr>
        <xdr:cNvPr id="8" name="ZoneTexte 7">
          <a:extLst>
            <a:ext uri="{FF2B5EF4-FFF2-40B4-BE49-F238E27FC236}">
              <a16:creationId xmlns:a16="http://schemas.microsoft.com/office/drawing/2014/main" id="{C6DE051D-0E6F-4420-A154-0BC563652D4F}"/>
            </a:ext>
          </a:extLst>
        </xdr:cNvPr>
        <xdr:cNvSpPr txBox="1"/>
      </xdr:nvSpPr>
      <xdr:spPr>
        <a:xfrm>
          <a:off x="34585697" y="1095376"/>
          <a:ext cx="2954655" cy="386714"/>
        </a:xfrm>
        <a:prstGeom prst="rect">
          <a:avLst/>
        </a:prstGeom>
        <a:gradFill flip="none" rotWithShape="1">
          <a:gsLst>
            <a:gs pos="96000">
              <a:schemeClr val="accent1">
                <a:lumMod val="5000"/>
                <a:lumOff val="95000"/>
              </a:schemeClr>
            </a:gs>
            <a:gs pos="0">
              <a:schemeClr val="accent1">
                <a:lumMod val="45000"/>
                <a:lumOff val="55000"/>
              </a:schemeClr>
            </a:gs>
            <a:gs pos="77000">
              <a:schemeClr val="accent1">
                <a:lumMod val="45000"/>
                <a:lumOff val="55000"/>
              </a:schemeClr>
            </a:gs>
            <a:gs pos="34000">
              <a:schemeClr val="tx1"/>
            </a:gs>
            <a:gs pos="100000">
              <a:schemeClr val="bg1"/>
            </a:gs>
          </a:gsLst>
          <a:path path="shape">
            <a:fillToRect l="50000" t="50000" r="50000" b="50000"/>
          </a:path>
          <a:tileRect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0C11DD3-4A52-48D8-A332-421B14D89C76}" type="TxLink">
            <a:rPr lang="en-US" sz="1400" b="1" i="0" u="none" strike="noStrike">
              <a:solidFill>
                <a:schemeClr val="bg1"/>
              </a:solidFill>
              <a:latin typeface="Bookman Old Style"/>
              <a:cs typeface="Calibri"/>
            </a:rPr>
            <a:pPr algn="ctr"/>
            <a:t>TSHITENGE  BANTU SETU</a:t>
          </a:fld>
          <a:endParaRPr lang="fr-FR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41</xdr:col>
      <xdr:colOff>674159</xdr:colOff>
      <xdr:row>2</xdr:row>
      <xdr:rowOff>164042</xdr:rowOff>
    </xdr:from>
    <xdr:to>
      <xdr:col>53</xdr:col>
      <xdr:colOff>35984</xdr:colOff>
      <xdr:row>4</xdr:row>
      <xdr:rowOff>87842</xdr:rowOff>
    </xdr:to>
    <xdr:sp macro="" textlink="">
      <xdr:nvSpPr>
        <xdr:cNvPr id="9" name="ZoneTexte 6">
          <a:extLst>
            <a:ext uri="{FF2B5EF4-FFF2-40B4-BE49-F238E27FC236}">
              <a16:creationId xmlns:a16="http://schemas.microsoft.com/office/drawing/2014/main" id="{4D1071F2-9124-40BC-B21F-24D5A18594FE}"/>
            </a:ext>
          </a:extLst>
        </xdr:cNvPr>
        <xdr:cNvSpPr txBox="1"/>
      </xdr:nvSpPr>
      <xdr:spPr>
        <a:xfrm>
          <a:off x="32853419" y="529802"/>
          <a:ext cx="8780145" cy="28956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fr-FR" sz="1100" kern="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=</a:t>
          </a:r>
          <a:r>
            <a:rPr lang="fr-FR" sz="1100" b="1" kern="100">
              <a:solidFill>
                <a:srgbClr val="943634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INDEX</a:t>
          </a:r>
          <a:r>
            <a:rPr lang="fr-FR" sz="1100" kern="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(BJ[DATE];PETITE.VALEUR(SI($P$6=BJ[NOM -POSTNOM];LIGNE(BJ[NOM -POSTNOM])-MIN(LIGNE($B$9))+1;"");1);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LIGNES(T$13:T13)));"")</a:t>
          </a:r>
          <a:endParaRPr lang="fr-FR" sz="1100" kern="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60613</xdr:colOff>
      <xdr:row>5</xdr:row>
      <xdr:rowOff>25978</xdr:rowOff>
    </xdr:from>
    <xdr:to>
      <xdr:col>18</xdr:col>
      <xdr:colOff>441613</xdr:colOff>
      <xdr:row>993</xdr:row>
      <xdr:rowOff>0</xdr:rowOff>
    </xdr:to>
    <xdr:sp macro="[0]!MontFr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F9422940-571B-4E79-89E8-36A6754C64C3}"/>
            </a:ext>
          </a:extLst>
        </xdr:cNvPr>
        <xdr:cNvSpPr/>
      </xdr:nvSpPr>
      <xdr:spPr>
        <a:xfrm>
          <a:off x="14188093" y="940378"/>
          <a:ext cx="381000" cy="252530263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absoluteAnchor>
    <xdr:pos x="740833" y="1900490868"/>
    <xdr:ext cx="999564" cy="203004"/>
    <xdr:sp macro="[0]!MontFr" textlink="">
      <xdr:nvSpPr>
        <xdr:cNvPr id="11" name="Rectangle : coins arrondis 10">
          <a:extLst>
            <a:ext uri="{FF2B5EF4-FFF2-40B4-BE49-F238E27FC236}">
              <a16:creationId xmlns:a16="http://schemas.microsoft.com/office/drawing/2014/main" id="{E533F0AF-8B6C-44D3-9F36-620F4687285A}"/>
            </a:ext>
          </a:extLst>
        </xdr:cNvPr>
        <xdr:cNvSpPr/>
      </xdr:nvSpPr>
      <xdr:spPr>
        <a:xfrm>
          <a:off x="740833" y="1900490868"/>
          <a:ext cx="999564" cy="203004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 prst="convex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absoluteAnchor>
  <xdr:twoCellAnchor>
    <xdr:from>
      <xdr:col>1</xdr:col>
      <xdr:colOff>10583</xdr:colOff>
      <xdr:row>2</xdr:row>
      <xdr:rowOff>10583</xdr:rowOff>
    </xdr:from>
    <xdr:to>
      <xdr:col>18</xdr:col>
      <xdr:colOff>484910</xdr:colOff>
      <xdr:row>6</xdr:row>
      <xdr:rowOff>179295</xdr:rowOff>
    </xdr:to>
    <xdr:grpSp>
      <xdr:nvGrpSpPr>
        <xdr:cNvPr id="12" name="Groupe 11">
          <a:extLst>
            <a:ext uri="{FF2B5EF4-FFF2-40B4-BE49-F238E27FC236}">
              <a16:creationId xmlns:a16="http://schemas.microsoft.com/office/drawing/2014/main" id="{E4FFA4F1-A5E3-448E-81D1-8091ADFAB637}"/>
            </a:ext>
          </a:extLst>
        </xdr:cNvPr>
        <xdr:cNvGrpSpPr/>
      </xdr:nvGrpSpPr>
      <xdr:grpSpPr>
        <a:xfrm>
          <a:off x="794354" y="402469"/>
          <a:ext cx="20144813" cy="985140"/>
          <a:chOff x="772583" y="412750"/>
          <a:chExt cx="15841327" cy="1025962"/>
        </a:xfr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rgbClr val="00B050"/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grpSpPr>
      <xdr:sp macro="" textlink="">
        <xdr:nvSpPr>
          <xdr:cNvPr id="13" name="ZoneTexte 12">
            <a:extLst>
              <a:ext uri="{FF2B5EF4-FFF2-40B4-BE49-F238E27FC236}">
                <a16:creationId xmlns:a16="http://schemas.microsoft.com/office/drawing/2014/main" id="{6411836B-4913-0293-1B7D-53C566DD50A0}"/>
              </a:ext>
            </a:extLst>
          </xdr:cNvPr>
          <xdr:cNvSpPr txBox="1"/>
        </xdr:nvSpPr>
        <xdr:spPr>
          <a:xfrm>
            <a:off x="1512794" y="1274084"/>
            <a:ext cx="15092456" cy="164628"/>
          </a:xfrm>
          <a:prstGeom prst="rect">
            <a:avLst/>
          </a:prstGeom>
          <a:grpFill/>
          <a:ln w="9525" cmpd="sng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fr-FR" sz="1100"/>
          </a:p>
        </xdr:txBody>
      </xdr:sp>
      <xdr:sp macro="[0]!ACCMVBD" textlink="">
        <xdr:nvSpPr>
          <xdr:cNvPr id="14" name="Rectangle 13">
            <a:extLst>
              <a:ext uri="{FF2B5EF4-FFF2-40B4-BE49-F238E27FC236}">
                <a16:creationId xmlns:a16="http://schemas.microsoft.com/office/drawing/2014/main" id="{AD55321C-F38B-28A4-6BDC-E189E8D60C5B}"/>
              </a:ext>
            </a:extLst>
          </xdr:cNvPr>
          <xdr:cNvSpPr/>
        </xdr:nvSpPr>
        <xdr:spPr>
          <a:xfrm>
            <a:off x="1555750" y="412750"/>
            <a:ext cx="15058160" cy="573424"/>
          </a:xfrm>
          <a:prstGeom prst="rect">
            <a:avLst/>
          </a:prstGeom>
          <a:grpFill/>
          <a:ln>
            <a:noFill/>
          </a:ln>
          <a:effectLst>
            <a:outerShdw blurRad="190500" dist="228600" dir="2700000" algn="ctr">
              <a:srgbClr val="000000">
                <a:alpha val="30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33350" h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2000" b="1">
                <a:latin typeface="Bookman Old Style" panose="02050604050505020204" pitchFamily="18" charset="0"/>
              </a:rPr>
              <a:t>BD Fr 2025</a:t>
            </a:r>
            <a:r>
              <a:rPr lang="fr-FR" sz="2000" b="1" baseline="0">
                <a:latin typeface="Bookman Old Style" panose="02050604050505020204" pitchFamily="18" charset="0"/>
              </a:rPr>
              <a:t> </a:t>
            </a:r>
            <a:r>
              <a:rPr lang="fr-FR" sz="2000" b="1">
                <a:latin typeface="Bookman Old Style" panose="02050604050505020204" pitchFamily="18" charset="0"/>
              </a:rPr>
              <a:t>- 2026</a:t>
            </a:r>
          </a:p>
        </xdr:txBody>
      </xdr:sp>
      <xdr:sp macro="[0]!DescFr" textlink="">
        <xdr:nvSpPr>
          <xdr:cNvPr id="15" name="Rectangle 14">
            <a:extLst>
              <a:ext uri="{FF2B5EF4-FFF2-40B4-BE49-F238E27FC236}">
                <a16:creationId xmlns:a16="http://schemas.microsoft.com/office/drawing/2014/main" id="{85D134C0-09C6-80F9-5F5B-43AC9F00601C}"/>
              </a:ext>
            </a:extLst>
          </xdr:cNvPr>
          <xdr:cNvSpPr/>
        </xdr:nvSpPr>
        <xdr:spPr>
          <a:xfrm>
            <a:off x="1545166" y="984251"/>
            <a:ext cx="1714500" cy="201083"/>
          </a:xfrm>
          <a:prstGeom prst="rect">
            <a:avLst/>
          </a:prstGeom>
          <a:grpFill/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17145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grpSp>
        <xdr:nvGrpSpPr>
          <xdr:cNvPr id="16" name="Groupe 15">
            <a:extLst>
              <a:ext uri="{FF2B5EF4-FFF2-40B4-BE49-F238E27FC236}">
                <a16:creationId xmlns:a16="http://schemas.microsoft.com/office/drawing/2014/main" id="{4F0AF9EC-2027-357E-2242-1C1D2684592A}"/>
              </a:ext>
            </a:extLst>
          </xdr:cNvPr>
          <xdr:cNvGrpSpPr/>
        </xdr:nvGrpSpPr>
        <xdr:grpSpPr>
          <a:xfrm>
            <a:off x="772583" y="412750"/>
            <a:ext cx="740834" cy="624417"/>
            <a:chOff x="772583" y="412750"/>
            <a:chExt cx="740834" cy="624417"/>
          </a:xfrm>
          <a:grpFill/>
        </xdr:grpSpPr>
        <xdr:sp macro="[0]!VersFmFrSc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8B524085-8E98-B02F-92A8-B16036F15ECA}"/>
                </a:ext>
              </a:extLst>
            </xdr:cNvPr>
            <xdr:cNvSpPr/>
          </xdr:nvSpPr>
          <xdr:spPr>
            <a:xfrm>
              <a:off x="772583" y="412750"/>
              <a:ext cx="740834" cy="190500"/>
            </a:xfrm>
            <a:prstGeom prst="rect">
              <a:avLst/>
            </a:prstGeom>
            <a:grpFill/>
            <a:ln>
              <a:noFill/>
            </a:ln>
            <a:effectLst>
              <a:outerShdw blurRad="107950" dist="12700" dir="5400000" algn="ctr">
                <a:srgbClr val="000000"/>
              </a:outerShdw>
            </a:effectLst>
            <a:scene3d>
              <a:camera prst="orthographicFront">
                <a:rot lat="0" lon="0" rev="0"/>
              </a:camera>
              <a:lightRig rig="soft" dir="t">
                <a:rot lat="0" lon="0" rev="0"/>
              </a:lightRig>
            </a:scene3d>
            <a:sp3d contourW="44450" prstMaterial="matte">
              <a:bevelT w="63500" h="63500" prst="artDeco"/>
              <a:contourClr>
                <a:srgbClr val="FFFFFF"/>
              </a:contourClr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400">
                  <a:latin typeface="Bookman Old Style" panose="02050604050505020204" pitchFamily="18" charset="0"/>
                </a:rPr>
                <a:t>RFr</a:t>
              </a: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19638B19-255F-37A4-B585-1AC59333EC06}"/>
                </a:ext>
              </a:extLst>
            </xdr:cNvPr>
            <xdr:cNvSpPr/>
          </xdr:nvSpPr>
          <xdr:spPr>
            <a:xfrm>
              <a:off x="772583" y="624416"/>
              <a:ext cx="740834" cy="190500"/>
            </a:xfrm>
            <a:prstGeom prst="rect">
              <a:avLst/>
            </a:prstGeom>
            <a:grpFill/>
            <a:ln>
              <a:noFill/>
            </a:ln>
            <a:effectLst>
              <a:outerShdw blurRad="107950" dist="12700" dir="5400000" algn="ctr">
                <a:srgbClr val="000000"/>
              </a:outerShdw>
            </a:effectLst>
            <a:scene3d>
              <a:camera prst="orthographicFront">
                <a:rot lat="0" lon="0" rev="0"/>
              </a:camera>
              <a:lightRig rig="soft" dir="t">
                <a:rot lat="0" lon="0" rev="0"/>
              </a:lightRig>
            </a:scene3d>
            <a:sp3d contourW="44450" prstMaterial="matte">
              <a:bevelT w="63500" h="63500" prst="artDeco"/>
              <a:contourClr>
                <a:srgbClr val="FFFFFF"/>
              </a:contourClr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FR" sz="1200" b="1">
                  <a:latin typeface="Bookman Old Style" panose="02050604050505020204" pitchFamily="18" charset="0"/>
                </a:rPr>
                <a:t>RIns</a:t>
              </a:r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4D1EA861-4F45-2420-5854-1AC8CED048EB}"/>
                </a:ext>
              </a:extLst>
            </xdr:cNvPr>
            <xdr:cNvSpPr/>
          </xdr:nvSpPr>
          <xdr:spPr>
            <a:xfrm>
              <a:off x="772583" y="846666"/>
              <a:ext cx="740834" cy="190501"/>
            </a:xfrm>
            <a:prstGeom prst="rect">
              <a:avLst/>
            </a:prstGeom>
            <a:grpFill/>
            <a:ln>
              <a:noFill/>
            </a:ln>
            <a:effectLst>
              <a:outerShdw blurRad="107950" dist="12700" dir="5400000" algn="ctr">
                <a:srgbClr val="000000"/>
              </a:outerShdw>
            </a:effectLst>
            <a:scene3d>
              <a:camera prst="orthographicFront">
                <a:rot lat="0" lon="0" rev="0"/>
              </a:camera>
              <a:lightRig rig="soft" dir="t">
                <a:rot lat="0" lon="0" rev="0"/>
              </a:lightRig>
            </a:scene3d>
            <a:sp3d contourW="44450" prstMaterial="matte">
              <a:bevelT w="63500" h="63500" prst="artDeco"/>
              <a:contourClr>
                <a:srgbClr val="FFFFFF"/>
              </a:contourClr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/>
            </a:p>
          </xdr:txBody>
        </xdr:sp>
      </xdr:grpSp>
    </xdr:grpSp>
    <xdr:clientData/>
  </xdr:twoCellAnchor>
  <xdr:twoCellAnchor>
    <xdr:from>
      <xdr:col>1</xdr:col>
      <xdr:colOff>21167</xdr:colOff>
      <xdr:row>1333</xdr:row>
      <xdr:rowOff>0</xdr:rowOff>
    </xdr:from>
    <xdr:to>
      <xdr:col>1</xdr:col>
      <xdr:colOff>751417</xdr:colOff>
      <xdr:row>1334</xdr:row>
      <xdr:rowOff>285750</xdr:rowOff>
    </xdr:to>
    <xdr:sp macro="[0]!MontFrsc" textlink="">
      <xdr:nvSpPr>
        <xdr:cNvPr id="20" name="Rectangle 19">
          <a:extLst>
            <a:ext uri="{FF2B5EF4-FFF2-40B4-BE49-F238E27FC236}">
              <a16:creationId xmlns:a16="http://schemas.microsoft.com/office/drawing/2014/main" id="{29351A27-6DFB-4710-A49C-CF11878DB7F8}"/>
            </a:ext>
          </a:extLst>
        </xdr:cNvPr>
        <xdr:cNvSpPr/>
      </xdr:nvSpPr>
      <xdr:spPr>
        <a:xfrm>
          <a:off x="806027" y="1831908960"/>
          <a:ext cx="730250" cy="361950"/>
        </a:xfrm>
        <a:prstGeom prst="rect">
          <a:avLst/>
        </a:prstGeom>
        <a:solidFill>
          <a:schemeClr val="bg2"/>
        </a:solidFill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66d46db7e9a871a/NV%20SYST%20THZ2526%20%20A01/NV%20B01%20BDTHZ%2020A026BJ.xlsm" TargetMode="External"/><Relationship Id="rId1" Type="http://schemas.openxmlformats.org/officeDocument/2006/relationships/externalLinkPath" Target="https://d.docs.live.net/e66d46db7e9a871a/NV%20SYST%20THZ2526%20%20A01/NV%20B01%20BDTHZ%2020A026BJ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SAIE "/>
      <sheetName val="PREBLOC2"/>
      <sheetName val="DP2425"/>
      <sheetName val="RPANG"/>
      <sheetName val="TBRBDG"/>
      <sheetName val="THZBD24PM"/>
      <sheetName val="6°P"/>
      <sheetName val="5°P"/>
      <sheetName val="4°P"/>
      <sheetName val="3°P"/>
      <sheetName val="2°P"/>
      <sheetName val="1°P"/>
      <sheetName val="4°EL"/>
      <sheetName val="4°MG"/>
      <sheetName val="4°CG"/>
      <sheetName val="4°TCC"/>
      <sheetName val="4°LIT"/>
      <sheetName val="4°HP"/>
      <sheetName val="4°SC"/>
      <sheetName val="3°TCC"/>
      <sheetName val="3°MG"/>
      <sheetName val="3°CG"/>
      <sheetName val="3°LIT"/>
      <sheetName val="3°EL"/>
      <sheetName val="3°SC"/>
      <sheetName val="3°HP"/>
      <sheetName val="2°TCC"/>
      <sheetName val="2°CG"/>
      <sheetName val="2°MG"/>
      <sheetName val="2°LIT"/>
      <sheetName val="2°EL"/>
      <sheetName val="2°HP"/>
      <sheetName val="2°SC"/>
      <sheetName val="1°HP"/>
      <sheetName val="1°TCC"/>
      <sheetName val="1°MG"/>
      <sheetName val="1°CG"/>
      <sheetName val="1°LIT"/>
      <sheetName val="1°EL"/>
      <sheetName val="1°SC"/>
      <sheetName val="8°EB"/>
      <sheetName val="7°EB"/>
      <sheetName val="MAT1"/>
      <sheetName val="MAT2"/>
      <sheetName val="MAT3"/>
      <sheetName val="THZBD2425AR"/>
      <sheetName val="THZBD2526G"/>
      <sheetName val="THZBD2025AGT "/>
      <sheetName val="THZBD2025AG"/>
      <sheetName val="THZBD25B"/>
      <sheetName val="THZBD24"/>
      <sheetName val="PREBLOC1"/>
      <sheetName val="TRANSP"/>
      <sheetName val="BESSBIS"/>
      <sheetName val="BD0002"/>
      <sheetName val="BDFIP2526"/>
      <sheetName val="BRL"/>
      <sheetName val="ACC"/>
      <sheetName val="AFFImpAgt"/>
      <sheetName val="AFFPRESENCE"/>
      <sheetName val="RESLT"/>
      <sheetName val="Presences"/>
      <sheetName val="Agents"/>
      <sheetName val="Pointages"/>
      <sheetName val="Config"/>
      <sheetName val="Résultats"/>
      <sheetName val="DEPENCES"/>
      <sheetName val="IMEUBLES"/>
      <sheetName val="CONNEXION"/>
      <sheetName val="BESS"/>
      <sheetName val="TRAVRECH"/>
      <sheetName val="RECH"/>
      <sheetName val="SVC"/>
      <sheetName val="INSOLV SEC"/>
      <sheetName val="RAPPORT ANNUEL"/>
      <sheetName val="FOR BC2  SC"/>
      <sheetName val="FOR BC1  MAT "/>
      <sheetName val="INSCRIPTION"/>
      <sheetName val="FORMPRM "/>
      <sheetName val="BD PRIM (2)"/>
      <sheetName val="INSOLV PRM"/>
      <sheetName val="LES INSOLVA"/>
      <sheetName val="PARAMETTRE"/>
      <sheetName val="RAP JRN BLC2 (2)"/>
      <sheetName val="RAP JRN BLC1"/>
      <sheetName val="FLstDP"/>
      <sheetName val="BDbr"/>
      <sheetName val="IMP TBR"/>
      <sheetName val="FLImpLSTV"/>
      <sheetName val="GMAFJ"/>
      <sheetName val="JAFJ"/>
      <sheetName val="TBR"/>
      <sheetName val="FLImpINSCR"/>
      <sheetName val="NV B01 BDTHZ 20A026B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8">
          <cell r="B8" t="str">
            <v>PL001</v>
          </cell>
          <cell r="D8">
            <v>970728092</v>
          </cell>
          <cell r="N8" t="str">
            <v>26 DES TERMITIERES</v>
          </cell>
        </row>
        <row r="9">
          <cell r="B9" t="str">
            <v>PL002</v>
          </cell>
          <cell r="D9">
            <v>974282852</v>
          </cell>
          <cell r="F9" t="str">
            <v>abd</v>
          </cell>
          <cell r="G9" t="str">
            <v>MUKUNDI SABU</v>
          </cell>
          <cell r="N9" t="str">
            <v>AV DE LA GLOIRE</v>
          </cell>
        </row>
        <row r="10">
          <cell r="B10" t="str">
            <v>PL003</v>
          </cell>
        </row>
        <row r="11">
          <cell r="B11" t="str">
            <v>PL004</v>
          </cell>
          <cell r="D11">
            <v>840943022</v>
          </cell>
          <cell r="F11" t="str">
            <v>PY</v>
          </cell>
          <cell r="G11" t="str">
            <v>MABWE WA LUNYAMBO</v>
          </cell>
          <cell r="N11" t="str">
            <v>Kasangulu coin du PDG</v>
          </cell>
        </row>
        <row r="12">
          <cell r="B12" t="str">
            <v>PL005</v>
          </cell>
          <cell r="D12">
            <v>977001384</v>
          </cell>
          <cell r="F12" t="str">
            <v>PY</v>
          </cell>
          <cell r="G12" t="str">
            <v>MUKENDI KABONGO</v>
          </cell>
          <cell r="N12" t="str">
            <v>DELIBERATION</v>
          </cell>
        </row>
        <row r="13">
          <cell r="B13" t="str">
            <v>PL006</v>
          </cell>
          <cell r="D13">
            <v>970225763</v>
          </cell>
          <cell r="F13" t="str">
            <v>abd</v>
          </cell>
          <cell r="G13" t="str">
            <v>KASONGO KALOMBO</v>
          </cell>
        </row>
        <row r="14">
          <cell r="B14" t="str">
            <v>PL007</v>
          </cell>
          <cell r="D14">
            <v>990023804</v>
          </cell>
          <cell r="F14" t="str">
            <v>PY</v>
          </cell>
          <cell r="G14" t="str">
            <v>KANGOLA ILUNGA</v>
          </cell>
        </row>
        <row r="15">
          <cell r="B15" t="str">
            <v>PL008</v>
          </cell>
          <cell r="D15">
            <v>814094493</v>
          </cell>
          <cell r="F15" t="str">
            <v>PY</v>
          </cell>
          <cell r="G15" t="str">
            <v>KABAMBI MUDINGA</v>
          </cell>
          <cell r="N15" t="str">
            <v>2957 KASANGULU</v>
          </cell>
        </row>
        <row r="16">
          <cell r="B16" t="str">
            <v>PL009</v>
          </cell>
          <cell r="D16">
            <v>977001384</v>
          </cell>
          <cell r="F16" t="str">
            <v>PY</v>
          </cell>
          <cell r="G16" t="str">
            <v>KAYUMBA LUKOLE</v>
          </cell>
          <cell r="N16" t="str">
            <v>DELALIBERATION</v>
          </cell>
        </row>
        <row r="17">
          <cell r="B17" t="str">
            <v>PL010</v>
          </cell>
        </row>
        <row r="18">
          <cell r="B18" t="str">
            <v>PL011</v>
          </cell>
          <cell r="D18">
            <v>997709346</v>
          </cell>
          <cell r="F18" t="str">
            <v>PY</v>
          </cell>
          <cell r="G18" t="str">
            <v>LUBALA BADIBANGA</v>
          </cell>
          <cell r="N18" t="str">
            <v>KASANGULU/DU CARMEL</v>
          </cell>
        </row>
        <row r="19">
          <cell r="B19" t="str">
            <v>PL012</v>
          </cell>
          <cell r="D19">
            <v>992456484</v>
          </cell>
          <cell r="F19" t="str">
            <v>PY</v>
          </cell>
          <cell r="G19" t="str">
            <v>ATCHUKANI OKABO</v>
          </cell>
          <cell r="N19" t="str">
            <v>40 AV  NTAMBWE/CAMP MISSEPE</v>
          </cell>
        </row>
        <row r="20">
          <cell r="B20" t="str">
            <v>PL013</v>
          </cell>
          <cell r="F20" t="str">
            <v>PY</v>
          </cell>
          <cell r="G20" t="str">
            <v>MUNABE KAMBALA</v>
          </cell>
        </row>
        <row r="21">
          <cell r="B21" t="str">
            <v>PL014</v>
          </cell>
        </row>
        <row r="22">
          <cell r="B22" t="str">
            <v>PL015</v>
          </cell>
          <cell r="D22" t="str">
            <v>0995524408/0970225763</v>
          </cell>
          <cell r="F22" t="str">
            <v>PY</v>
          </cell>
          <cell r="G22" t="str">
            <v>KALENGA KALOMBO</v>
          </cell>
          <cell r="N22" t="str">
            <v>1919 DES TERMITIERES</v>
          </cell>
        </row>
        <row r="23">
          <cell r="B23" t="str">
            <v>PL016</v>
          </cell>
          <cell r="D23">
            <v>811684297</v>
          </cell>
          <cell r="F23" t="str">
            <v>abd</v>
          </cell>
          <cell r="G23" t="str">
            <v>MAYAHUDI NGOMBE</v>
          </cell>
          <cell r="N23" t="str">
            <v>2905 DU CAMPUS</v>
          </cell>
        </row>
        <row r="24">
          <cell r="B24" t="str">
            <v>PL017</v>
          </cell>
          <cell r="F24" t="str">
            <v>PY</v>
          </cell>
          <cell r="G24" t="str">
            <v>TATANGOLO KAMUNGU</v>
          </cell>
          <cell r="N24" t="str">
            <v>11B DU CONGO</v>
          </cell>
        </row>
        <row r="25">
          <cell r="B25" t="str">
            <v>PL018</v>
          </cell>
          <cell r="F25" t="str">
            <v>PY</v>
          </cell>
          <cell r="G25" t="str">
            <v>MBIYA TATANGOLO</v>
          </cell>
          <cell r="N25" t="str">
            <v>11B DU CONGO</v>
          </cell>
        </row>
        <row r="26">
          <cell r="B26" t="str">
            <v>PL019</v>
          </cell>
          <cell r="D26">
            <v>847775171</v>
          </cell>
          <cell r="F26" t="str">
            <v>abd</v>
          </cell>
          <cell r="G26" t="str">
            <v>TSILOMBO MWASWANZAMBI</v>
          </cell>
          <cell r="N26" t="str">
            <v>AV CHRISNOVIC</v>
          </cell>
        </row>
        <row r="27">
          <cell r="B27" t="str">
            <v>PL020</v>
          </cell>
          <cell r="D27">
            <v>977079344</v>
          </cell>
          <cell r="F27" t="str">
            <v>abd</v>
          </cell>
          <cell r="G27" t="str">
            <v>NGOY KITENGE JOSUE</v>
          </cell>
          <cell r="N27" t="str">
            <v>20 AV DE L'EGLISE</v>
          </cell>
        </row>
        <row r="28">
          <cell r="B28" t="str">
            <v>PL021</v>
          </cell>
          <cell r="D28">
            <v>977079344</v>
          </cell>
          <cell r="F28" t="str">
            <v>abd</v>
          </cell>
          <cell r="G28" t="str">
            <v>MBUYA KALULWA</v>
          </cell>
          <cell r="N28" t="str">
            <v>20 AV DE L'EGLISE</v>
          </cell>
        </row>
        <row r="29">
          <cell r="B29" t="str">
            <v>PL022</v>
          </cell>
          <cell r="D29">
            <v>975300317</v>
          </cell>
          <cell r="F29" t="str">
            <v>PY</v>
          </cell>
          <cell r="G29" t="str">
            <v>OTSHUDI OLENGA</v>
          </cell>
          <cell r="N29" t="str">
            <v>KASANGULU/KAMOTO</v>
          </cell>
        </row>
        <row r="30">
          <cell r="B30" t="str">
            <v>PL023</v>
          </cell>
          <cell r="D30">
            <v>821231296</v>
          </cell>
          <cell r="F30" t="str">
            <v>PY</v>
          </cell>
          <cell r="G30" t="str">
            <v>BILONDA TSHIMBELA</v>
          </cell>
          <cell r="N30" t="str">
            <v>KASANGULU/DES VOLONTAIRES</v>
          </cell>
        </row>
        <row r="31">
          <cell r="B31" t="str">
            <v>PL024</v>
          </cell>
          <cell r="D31">
            <v>975260045</v>
          </cell>
          <cell r="F31" t="str">
            <v>abd</v>
          </cell>
          <cell r="G31" t="str">
            <v>MANDE KITWA</v>
          </cell>
          <cell r="N31" t="str">
            <v>AV MWENZ</v>
          </cell>
        </row>
        <row r="32">
          <cell r="B32" t="str">
            <v>PL025</v>
          </cell>
          <cell r="D32">
            <v>990922694</v>
          </cell>
          <cell r="F32" t="str">
            <v>abd</v>
          </cell>
          <cell r="G32" t="str">
            <v>ASSANI AZEVEDO</v>
          </cell>
          <cell r="N32" t="str">
            <v>22 AV KASANGULU/KAKONTWE</v>
          </cell>
        </row>
        <row r="33">
          <cell r="B33" t="str">
            <v>PL026</v>
          </cell>
          <cell r="D33">
            <v>976009666</v>
          </cell>
          <cell r="F33" t="str">
            <v>PY</v>
          </cell>
          <cell r="G33" t="str">
            <v>MBUYI MWA KATAMBWE</v>
          </cell>
          <cell r="N33" t="str">
            <v>265 AV MOHAMED</v>
          </cell>
        </row>
        <row r="34">
          <cell r="B34" t="str">
            <v>PL027</v>
          </cell>
          <cell r="D34" t="str">
            <v>0975312003/0982256989</v>
          </cell>
          <cell r="F34" t="str">
            <v>PY</v>
          </cell>
          <cell r="G34" t="str">
            <v>LOBANDA NGOIE</v>
          </cell>
          <cell r="N34" t="str">
            <v>Q/KASSAPA</v>
          </cell>
        </row>
        <row r="35">
          <cell r="B35" t="str">
            <v>PL028</v>
          </cell>
          <cell r="D35" t="str">
            <v>0982256989/0975312003</v>
          </cell>
          <cell r="F35" t="str">
            <v>PY</v>
          </cell>
          <cell r="G35" t="str">
            <v>SIMBA TSHIKALA</v>
          </cell>
          <cell r="N35" t="str">
            <v>Q/KASSAPA</v>
          </cell>
        </row>
        <row r="36">
          <cell r="B36" t="str">
            <v>PL029</v>
          </cell>
          <cell r="D36">
            <v>243995380900</v>
          </cell>
          <cell r="F36" t="str">
            <v>PY</v>
          </cell>
          <cell r="G36" t="str">
            <v>MWANGAZA  ZAINABO</v>
          </cell>
          <cell r="N36" t="str">
            <v>Du Campus Sinai</v>
          </cell>
        </row>
        <row r="37">
          <cell r="B37" t="str">
            <v>PL030</v>
          </cell>
          <cell r="D37">
            <v>843371850</v>
          </cell>
          <cell r="F37" t="str">
            <v>PY</v>
          </cell>
          <cell r="G37" t="str">
            <v>NYOTA KIWAME</v>
          </cell>
          <cell r="N37" t="str">
            <v>AV KAPOLOWE/KALUBWE</v>
          </cell>
        </row>
        <row r="38">
          <cell r="B38" t="str">
            <v>PL031</v>
          </cell>
          <cell r="D38">
            <v>902666303</v>
          </cell>
          <cell r="F38" t="str">
            <v>PY</v>
          </cell>
          <cell r="G38" t="str">
            <v>KAMWANYA MWEPU</v>
          </cell>
          <cell r="N38" t="str">
            <v>AV DE L'EGLISE</v>
          </cell>
        </row>
        <row r="39">
          <cell r="B39" t="str">
            <v>PL032</v>
          </cell>
          <cell r="D39">
            <v>902666303</v>
          </cell>
          <cell r="F39" t="str">
            <v>PY</v>
          </cell>
          <cell r="G39" t="str">
            <v>MBUYI MWEPU</v>
          </cell>
          <cell r="N39" t="str">
            <v>AV DE L'EGLISE</v>
          </cell>
        </row>
        <row r="40">
          <cell r="B40" t="str">
            <v>PL033</v>
          </cell>
          <cell r="D40">
            <v>902666303</v>
          </cell>
          <cell r="F40" t="str">
            <v>PY</v>
          </cell>
          <cell r="G40" t="str">
            <v>MWADI MWEPU</v>
          </cell>
          <cell r="N40" t="str">
            <v>AV DE L'EGLISE</v>
          </cell>
        </row>
        <row r="41">
          <cell r="B41" t="str">
            <v>PL034</v>
          </cell>
          <cell r="D41">
            <v>998287083</v>
          </cell>
          <cell r="F41" t="str">
            <v>PY</v>
          </cell>
          <cell r="G41" t="str">
            <v>KYAYO MWEPU</v>
          </cell>
        </row>
        <row r="42">
          <cell r="B42" t="str">
            <v>PL035</v>
          </cell>
          <cell r="D42">
            <v>975121313</v>
          </cell>
          <cell r="F42" t="str">
            <v>PY</v>
          </cell>
          <cell r="G42" t="str">
            <v>NGANDWE MUSILANDE</v>
          </cell>
          <cell r="N42" t="str">
            <v>50 AV DU CONGO</v>
          </cell>
        </row>
        <row r="43">
          <cell r="B43" t="str">
            <v>PL036</v>
          </cell>
          <cell r="D43">
            <v>993649349</v>
          </cell>
          <cell r="F43" t="str">
            <v>PY</v>
          </cell>
          <cell r="G43" t="str">
            <v>LUPENDA MUTEBA</v>
          </cell>
          <cell r="N43" t="str">
            <v>20 èm POTEAU/KIN SEVERE</v>
          </cell>
        </row>
        <row r="44">
          <cell r="B44" t="str">
            <v>PL037</v>
          </cell>
          <cell r="D44">
            <v>999301028</v>
          </cell>
          <cell r="F44" t="str">
            <v>PY</v>
          </cell>
          <cell r="G44" t="str">
            <v xml:space="preserve">ANDJELANI TCHOMBA </v>
          </cell>
          <cell r="N44" t="str">
            <v>DU CONSERVATEUR</v>
          </cell>
        </row>
        <row r="45">
          <cell r="B45" t="str">
            <v>PL038</v>
          </cell>
          <cell r="D45">
            <v>999301028</v>
          </cell>
          <cell r="F45" t="str">
            <v>PY</v>
          </cell>
          <cell r="G45" t="str">
            <v>KASAKA TCHOMBA</v>
          </cell>
          <cell r="N45" t="str">
            <v>DU CONSERVATEUR</v>
          </cell>
        </row>
        <row r="46">
          <cell r="B46" t="str">
            <v>PL039</v>
          </cell>
          <cell r="D46">
            <v>853046930</v>
          </cell>
          <cell r="F46" t="str">
            <v>PY</v>
          </cell>
          <cell r="G46" t="str">
            <v>KANDOLO KABASELE</v>
          </cell>
          <cell r="N46" t="str">
            <v>25 AV CIRC/ARRET GEO</v>
          </cell>
        </row>
        <row r="47">
          <cell r="B47" t="str">
            <v>PL040</v>
          </cell>
          <cell r="D47">
            <v>978555251</v>
          </cell>
          <cell r="F47" t="str">
            <v>PY</v>
          </cell>
          <cell r="G47" t="str">
            <v>KANYINDA TSHIMANGA</v>
          </cell>
          <cell r="N47" t="str">
            <v>1385B DU SOLEIL</v>
          </cell>
        </row>
        <row r="48">
          <cell r="B48" t="str">
            <v>PL041</v>
          </cell>
        </row>
        <row r="49">
          <cell r="B49" t="str">
            <v>PL042</v>
          </cell>
        </row>
        <row r="50">
          <cell r="B50" t="str">
            <v>PL043</v>
          </cell>
        </row>
        <row r="51">
          <cell r="B51" t="str">
            <v>PL044</v>
          </cell>
        </row>
        <row r="52">
          <cell r="B52" t="str">
            <v>PL045</v>
          </cell>
        </row>
        <row r="53">
          <cell r="B53" t="str">
            <v>PL046</v>
          </cell>
        </row>
        <row r="54">
          <cell r="B54" t="str">
            <v>PL047</v>
          </cell>
        </row>
        <row r="55">
          <cell r="B55" t="str">
            <v>PL048</v>
          </cell>
        </row>
        <row r="56">
          <cell r="B56" t="str">
            <v>PL049</v>
          </cell>
        </row>
        <row r="57">
          <cell r="B57" t="str">
            <v>PL050</v>
          </cell>
        </row>
        <row r="58">
          <cell r="B58" t="str">
            <v>PL051</v>
          </cell>
        </row>
        <row r="59">
          <cell r="B59" t="str">
            <v>PL052</v>
          </cell>
        </row>
        <row r="60">
          <cell r="B60" t="str">
            <v>PL053</v>
          </cell>
        </row>
        <row r="61">
          <cell r="B61" t="str">
            <v>PL054</v>
          </cell>
        </row>
        <row r="62">
          <cell r="B62" t="str">
            <v>PL055</v>
          </cell>
        </row>
        <row r="63">
          <cell r="B63" t="str">
            <v>PL056</v>
          </cell>
        </row>
        <row r="64">
          <cell r="B64" t="str">
            <v>PL057</v>
          </cell>
        </row>
        <row r="65">
          <cell r="B65" t="str">
            <v>PL058</v>
          </cell>
        </row>
        <row r="66">
          <cell r="B66" t="str">
            <v>PL059</v>
          </cell>
        </row>
        <row r="67">
          <cell r="B67" t="str">
            <v>PL060</v>
          </cell>
        </row>
        <row r="68">
          <cell r="B68" t="str">
            <v>PL061</v>
          </cell>
        </row>
        <row r="69">
          <cell r="B69" t="str">
            <v>PL062</v>
          </cell>
        </row>
        <row r="70">
          <cell r="B70" t="str">
            <v>PL063</v>
          </cell>
        </row>
        <row r="71">
          <cell r="B71" t="str">
            <v>PL064</v>
          </cell>
        </row>
        <row r="72">
          <cell r="B72" t="str">
            <v>PL065</v>
          </cell>
        </row>
        <row r="73">
          <cell r="B73" t="str">
            <v>PL066</v>
          </cell>
        </row>
        <row r="74">
          <cell r="B74" t="str">
            <v>PL067</v>
          </cell>
        </row>
        <row r="75">
          <cell r="B75" t="str">
            <v>PL068</v>
          </cell>
        </row>
        <row r="76">
          <cell r="B76" t="str">
            <v>PL069</v>
          </cell>
        </row>
        <row r="77">
          <cell r="B77" t="str">
            <v>PL070</v>
          </cell>
        </row>
        <row r="78">
          <cell r="B78" t="str">
            <v>PL071</v>
          </cell>
        </row>
        <row r="79">
          <cell r="B79" t="str">
            <v>PL072</v>
          </cell>
          <cell r="D79">
            <v>973434777</v>
          </cell>
          <cell r="F79" t="str">
            <v>PY</v>
          </cell>
          <cell r="G79" t="str">
            <v xml:space="preserve">KAZADI  MBAYA </v>
          </cell>
          <cell r="N79" t="str">
            <v>2945 KALOMBO</v>
          </cell>
        </row>
        <row r="80">
          <cell r="B80" t="str">
            <v>PL073</v>
          </cell>
        </row>
        <row r="81">
          <cell r="B81" t="str">
            <v>PL074</v>
          </cell>
          <cell r="D81">
            <v>903622008</v>
          </cell>
          <cell r="F81" t="str">
            <v>PY</v>
          </cell>
          <cell r="G81" t="str">
            <v>TSHISUMPA NTUMBA</v>
          </cell>
          <cell r="N81" t="str">
            <v>94 Des Etoiles</v>
          </cell>
        </row>
        <row r="82">
          <cell r="B82" t="str">
            <v>PL075</v>
          </cell>
        </row>
        <row r="83">
          <cell r="B83" t="str">
            <v>PL076</v>
          </cell>
        </row>
        <row r="84">
          <cell r="B84" t="str">
            <v>PL077</v>
          </cell>
        </row>
        <row r="85">
          <cell r="B85" t="str">
            <v>PL078</v>
          </cell>
        </row>
        <row r="86">
          <cell r="B86" t="str">
            <v>PL079</v>
          </cell>
        </row>
        <row r="87">
          <cell r="B87" t="str">
            <v>PL080</v>
          </cell>
        </row>
        <row r="88">
          <cell r="B88" t="str">
            <v>PL081</v>
          </cell>
        </row>
        <row r="89">
          <cell r="B89" t="str">
            <v>PL082</v>
          </cell>
        </row>
        <row r="90">
          <cell r="B90" t="str">
            <v>PL083</v>
          </cell>
        </row>
        <row r="91">
          <cell r="B91" t="str">
            <v>PL084</v>
          </cell>
        </row>
        <row r="92">
          <cell r="B92" t="str">
            <v>PL085</v>
          </cell>
        </row>
        <row r="93">
          <cell r="B93" t="str">
            <v>PL086</v>
          </cell>
        </row>
        <row r="94">
          <cell r="B94" t="str">
            <v>PL087</v>
          </cell>
        </row>
        <row r="95">
          <cell r="B95" t="str">
            <v>PL088</v>
          </cell>
        </row>
        <row r="96">
          <cell r="B96" t="str">
            <v>PL089</v>
          </cell>
        </row>
        <row r="97">
          <cell r="B97" t="str">
            <v>PL090</v>
          </cell>
        </row>
        <row r="98">
          <cell r="B98" t="str">
            <v>PL091</v>
          </cell>
        </row>
        <row r="99">
          <cell r="B99" t="str">
            <v>PL092</v>
          </cell>
        </row>
        <row r="100">
          <cell r="B100" t="str">
            <v>PL093</v>
          </cell>
        </row>
        <row r="101">
          <cell r="B101" t="str">
            <v>PL094</v>
          </cell>
        </row>
        <row r="102">
          <cell r="B102" t="str">
            <v>PL095</v>
          </cell>
        </row>
        <row r="103">
          <cell r="B103" t="str">
            <v>PL096</v>
          </cell>
        </row>
        <row r="104">
          <cell r="B104" t="str">
            <v>PL097</v>
          </cell>
        </row>
        <row r="105">
          <cell r="B105" t="str">
            <v>PL098</v>
          </cell>
          <cell r="F105" t="str">
            <v>PY</v>
          </cell>
          <cell r="G105" t="str">
            <v>MULANGA NTUMBA</v>
          </cell>
        </row>
        <row r="106">
          <cell r="B106" t="str">
            <v>PL099</v>
          </cell>
          <cell r="F106" t="str">
            <v>PY</v>
          </cell>
          <cell r="G106" t="str">
            <v>MPOYO KAUMBO</v>
          </cell>
        </row>
        <row r="107">
          <cell r="B107" t="str">
            <v>PL100</v>
          </cell>
          <cell r="D107">
            <v>991220555</v>
          </cell>
          <cell r="F107" t="str">
            <v>PY</v>
          </cell>
          <cell r="G107" t="str">
            <v>KAZIBA MFUNGYI</v>
          </cell>
          <cell r="N107" t="str">
            <v>29 Av BIAYI prologeé Coin MANIKA</v>
          </cell>
        </row>
        <row r="108">
          <cell r="B108" t="str">
            <v>PL101</v>
          </cell>
        </row>
        <row r="109">
          <cell r="B109" t="str">
            <v>PL102</v>
          </cell>
        </row>
        <row r="110">
          <cell r="B110" t="str">
            <v>PL103</v>
          </cell>
        </row>
        <row r="111">
          <cell r="B111" t="str">
            <v>PL104</v>
          </cell>
        </row>
        <row r="112">
          <cell r="B112" t="str">
            <v>PL105</v>
          </cell>
        </row>
        <row r="113">
          <cell r="B113" t="str">
            <v>PL106</v>
          </cell>
        </row>
        <row r="114">
          <cell r="B114" t="str">
            <v>PL107</v>
          </cell>
        </row>
        <row r="115">
          <cell r="B115" t="str">
            <v>PL108</v>
          </cell>
        </row>
        <row r="116">
          <cell r="B116" t="str">
            <v>PL109</v>
          </cell>
        </row>
        <row r="117">
          <cell r="B117" t="str">
            <v>PL110</v>
          </cell>
        </row>
        <row r="118">
          <cell r="B118" t="str">
            <v>PL111</v>
          </cell>
        </row>
        <row r="119">
          <cell r="B119" t="str">
            <v>PL112</v>
          </cell>
        </row>
        <row r="120">
          <cell r="B120" t="str">
            <v>PL113</v>
          </cell>
        </row>
        <row r="121">
          <cell r="B121" t="str">
            <v>PL114</v>
          </cell>
        </row>
        <row r="122">
          <cell r="B122" t="str">
            <v>PL115</v>
          </cell>
        </row>
        <row r="123">
          <cell r="B123" t="str">
            <v>PL116</v>
          </cell>
        </row>
        <row r="124">
          <cell r="B124" t="str">
            <v>PL117</v>
          </cell>
        </row>
        <row r="125">
          <cell r="B125" t="str">
            <v>PL118</v>
          </cell>
        </row>
        <row r="126">
          <cell r="B126" t="str">
            <v>PL119</v>
          </cell>
        </row>
        <row r="127">
          <cell r="B127" t="str">
            <v>PL120</v>
          </cell>
        </row>
        <row r="128">
          <cell r="B128" t="str">
            <v>PL121</v>
          </cell>
        </row>
        <row r="129">
          <cell r="B129" t="str">
            <v>PL122</v>
          </cell>
        </row>
        <row r="130">
          <cell r="B130" t="str">
            <v>PL123</v>
          </cell>
        </row>
        <row r="131">
          <cell r="B131" t="str">
            <v>PL124</v>
          </cell>
          <cell r="F131" t="str">
            <v>PY</v>
          </cell>
          <cell r="G131" t="str">
            <v>KIJ KAMB</v>
          </cell>
        </row>
        <row r="132">
          <cell r="B132" t="str">
            <v>PL125</v>
          </cell>
          <cell r="D132">
            <v>973434777</v>
          </cell>
          <cell r="F132" t="str">
            <v>PY</v>
          </cell>
          <cell r="G132" t="str">
            <v>KAZADI NDAYA</v>
          </cell>
          <cell r="N132" t="str">
            <v>2445 Av Kalombo</v>
          </cell>
        </row>
        <row r="133">
          <cell r="B133" t="str">
            <v>PL126</v>
          </cell>
          <cell r="D133">
            <v>973434777</v>
          </cell>
          <cell r="F133" t="str">
            <v>PY</v>
          </cell>
          <cell r="G133" t="str">
            <v xml:space="preserve">KAZADI TSHIYAMBA </v>
          </cell>
          <cell r="N133" t="str">
            <v>2445  Av Kalombo</v>
          </cell>
        </row>
        <row r="134">
          <cell r="B134" t="str">
            <v>PL127</v>
          </cell>
        </row>
        <row r="135">
          <cell r="B135" t="str">
            <v>PL128</v>
          </cell>
        </row>
        <row r="136">
          <cell r="B136" t="str">
            <v>PL129</v>
          </cell>
        </row>
        <row r="137">
          <cell r="B137" t="str">
            <v>PL130</v>
          </cell>
        </row>
        <row r="138">
          <cell r="B138" t="str">
            <v>PL131</v>
          </cell>
        </row>
        <row r="139">
          <cell r="B139" t="str">
            <v>PL132</v>
          </cell>
        </row>
        <row r="140">
          <cell r="B140" t="str">
            <v>PL133</v>
          </cell>
        </row>
        <row r="141">
          <cell r="B141" t="str">
            <v>PL134</v>
          </cell>
        </row>
        <row r="142">
          <cell r="B142" t="str">
            <v>PL135</v>
          </cell>
          <cell r="D142">
            <v>974422874</v>
          </cell>
          <cell r="F142" t="str">
            <v>PY</v>
          </cell>
          <cell r="G142" t="str">
            <v>TWITE BILA</v>
          </cell>
          <cell r="N142" t="str">
            <v>AV DU CARMEL</v>
          </cell>
        </row>
        <row r="143">
          <cell r="B143" t="str">
            <v>PL136</v>
          </cell>
          <cell r="F143" t="str">
            <v>PY</v>
          </cell>
          <cell r="G143" t="str">
            <v>ILUNGA MAYANGA</v>
          </cell>
        </row>
        <row r="144">
          <cell r="B144" t="str">
            <v>PL137</v>
          </cell>
        </row>
        <row r="145">
          <cell r="B145" t="str">
            <v>PL138</v>
          </cell>
          <cell r="D145">
            <v>99357509</v>
          </cell>
          <cell r="F145" t="str">
            <v>PY</v>
          </cell>
          <cell r="G145" t="str">
            <v>MBUYI MULAMBA</v>
          </cell>
          <cell r="N145" t="str">
            <v>Av  de la cloitre</v>
          </cell>
        </row>
        <row r="146">
          <cell r="B146" t="str">
            <v>PL139</v>
          </cell>
        </row>
        <row r="147">
          <cell r="B147" t="str">
            <v>PL140</v>
          </cell>
        </row>
        <row r="148">
          <cell r="B148" t="str">
            <v>PL141</v>
          </cell>
        </row>
        <row r="149">
          <cell r="B149" t="str">
            <v>PL142</v>
          </cell>
        </row>
        <row r="150">
          <cell r="B150" t="str">
            <v>PL143</v>
          </cell>
        </row>
        <row r="151">
          <cell r="B151" t="str">
            <v>PL144</v>
          </cell>
        </row>
        <row r="152">
          <cell r="B152" t="str">
            <v>PL145</v>
          </cell>
        </row>
        <row r="153">
          <cell r="B153" t="str">
            <v>PL146</v>
          </cell>
        </row>
        <row r="154">
          <cell r="B154" t="str">
            <v>PL147</v>
          </cell>
        </row>
        <row r="155">
          <cell r="B155" t="str">
            <v>PL148</v>
          </cell>
          <cell r="D155">
            <v>843038359</v>
          </cell>
          <cell r="F155" t="str">
            <v>PY</v>
          </cell>
          <cell r="G155" t="str">
            <v>NYEMBO NORBERT</v>
          </cell>
          <cell r="N155" t="str">
            <v>39Av KASANGULU</v>
          </cell>
        </row>
        <row r="156">
          <cell r="B156" t="str">
            <v>PL149</v>
          </cell>
        </row>
        <row r="157">
          <cell r="B157" t="str">
            <v>PL150</v>
          </cell>
        </row>
        <row r="158">
          <cell r="B158" t="str">
            <v>PL151</v>
          </cell>
        </row>
        <row r="159">
          <cell r="B159" t="str">
            <v>PL152</v>
          </cell>
        </row>
        <row r="160">
          <cell r="B160" t="str">
            <v>PL153</v>
          </cell>
        </row>
        <row r="161">
          <cell r="B161" t="str">
            <v>PL154</v>
          </cell>
        </row>
        <row r="162">
          <cell r="B162" t="str">
            <v>PL155</v>
          </cell>
        </row>
        <row r="163">
          <cell r="B163" t="str">
            <v>PL156</v>
          </cell>
        </row>
        <row r="164">
          <cell r="B164" t="str">
            <v>PL157</v>
          </cell>
        </row>
        <row r="165">
          <cell r="B165" t="str">
            <v>PL158</v>
          </cell>
        </row>
        <row r="166">
          <cell r="B166" t="str">
            <v>PL159</v>
          </cell>
        </row>
        <row r="167">
          <cell r="B167" t="str">
            <v>PL160</v>
          </cell>
          <cell r="D167">
            <v>973320051</v>
          </cell>
          <cell r="F167" t="str">
            <v>PY</v>
          </cell>
          <cell r="G167" t="str">
            <v>NAWEJ MUTCHAIL</v>
          </cell>
          <cell r="N167" t="str">
            <v xml:space="preserve">AV </v>
          </cell>
        </row>
        <row r="168">
          <cell r="B168" t="str">
            <v>PL161</v>
          </cell>
        </row>
        <row r="169">
          <cell r="B169" t="str">
            <v>PL162</v>
          </cell>
        </row>
        <row r="170">
          <cell r="B170" t="str">
            <v>PL163</v>
          </cell>
        </row>
        <row r="171">
          <cell r="B171" t="str">
            <v>PL164</v>
          </cell>
        </row>
        <row r="172">
          <cell r="B172" t="str">
            <v>PL165</v>
          </cell>
        </row>
        <row r="173">
          <cell r="B173" t="str">
            <v>PL166</v>
          </cell>
        </row>
        <row r="174">
          <cell r="B174" t="str">
            <v>PL167</v>
          </cell>
        </row>
        <row r="175">
          <cell r="B175" t="str">
            <v>PL168</v>
          </cell>
        </row>
        <row r="176">
          <cell r="B176" t="str">
            <v>PL169</v>
          </cell>
        </row>
        <row r="177">
          <cell r="B177" t="str">
            <v>PL170</v>
          </cell>
        </row>
        <row r="178">
          <cell r="B178" t="str">
            <v>PL171</v>
          </cell>
        </row>
        <row r="179">
          <cell r="B179" t="str">
            <v>PL172</v>
          </cell>
        </row>
        <row r="180">
          <cell r="B180" t="str">
            <v>PL173</v>
          </cell>
        </row>
        <row r="181">
          <cell r="B181" t="str">
            <v>PL174</v>
          </cell>
        </row>
        <row r="182">
          <cell r="B182" t="str">
            <v>PL175</v>
          </cell>
        </row>
        <row r="183">
          <cell r="B183" t="str">
            <v>PL176</v>
          </cell>
        </row>
        <row r="184">
          <cell r="B184" t="str">
            <v>PL177</v>
          </cell>
        </row>
        <row r="185">
          <cell r="B185" t="str">
            <v>PL178</v>
          </cell>
        </row>
        <row r="186">
          <cell r="B186" t="str">
            <v>PL179</v>
          </cell>
        </row>
        <row r="187">
          <cell r="B187" t="str">
            <v>PL180</v>
          </cell>
        </row>
        <row r="188">
          <cell r="B188" t="str">
            <v>PL181</v>
          </cell>
          <cell r="D188" t="str">
            <v>0975943658/0970466211</v>
          </cell>
          <cell r="F188" t="str">
            <v>PY</v>
          </cell>
          <cell r="G188" t="str">
            <v>MAYAZOLA FURAH</v>
          </cell>
          <cell r="N188" t="str">
            <v>Q. MOISE</v>
          </cell>
        </row>
        <row r="189">
          <cell r="B189" t="str">
            <v>PL182</v>
          </cell>
        </row>
        <row r="190">
          <cell r="B190" t="str">
            <v>PL183</v>
          </cell>
        </row>
        <row r="191">
          <cell r="B191" t="str">
            <v>PL184</v>
          </cell>
        </row>
        <row r="192">
          <cell r="B192" t="str">
            <v>PL185</v>
          </cell>
        </row>
        <row r="193">
          <cell r="B193" t="str">
            <v>PL186</v>
          </cell>
        </row>
        <row r="194">
          <cell r="B194" t="str">
            <v>PL187</v>
          </cell>
        </row>
        <row r="195">
          <cell r="B195" t="str">
            <v>PL188</v>
          </cell>
        </row>
        <row r="196">
          <cell r="B196" t="str">
            <v>PL189</v>
          </cell>
        </row>
        <row r="197">
          <cell r="B197" t="str">
            <v>PL190</v>
          </cell>
        </row>
        <row r="198">
          <cell r="B198" t="str">
            <v>PL191</v>
          </cell>
        </row>
        <row r="199">
          <cell r="B199" t="str">
            <v>PL192</v>
          </cell>
        </row>
        <row r="200">
          <cell r="B200" t="str">
            <v>PL193</v>
          </cell>
        </row>
        <row r="201">
          <cell r="B201" t="str">
            <v>PL194</v>
          </cell>
        </row>
        <row r="202">
          <cell r="B202" t="str">
            <v>PL195</v>
          </cell>
        </row>
        <row r="203">
          <cell r="B203" t="str">
            <v>PL196</v>
          </cell>
        </row>
        <row r="204">
          <cell r="B204" t="str">
            <v>PL197</v>
          </cell>
        </row>
        <row r="205">
          <cell r="B205" t="str">
            <v>PL198</v>
          </cell>
        </row>
        <row r="206">
          <cell r="B206" t="str">
            <v>PL199</v>
          </cell>
        </row>
        <row r="207">
          <cell r="B207" t="str">
            <v>PL200</v>
          </cell>
        </row>
        <row r="208">
          <cell r="B208" t="str">
            <v>PL201</v>
          </cell>
        </row>
        <row r="209">
          <cell r="B209" t="str">
            <v>PL202</v>
          </cell>
        </row>
        <row r="210">
          <cell r="B210" t="str">
            <v>PL203</v>
          </cell>
        </row>
        <row r="211">
          <cell r="B211" t="str">
            <v>PL204</v>
          </cell>
        </row>
        <row r="212">
          <cell r="B212" t="str">
            <v>PL205</v>
          </cell>
        </row>
        <row r="213">
          <cell r="B213" t="str">
            <v>PL206</v>
          </cell>
        </row>
        <row r="214">
          <cell r="B214" t="str">
            <v>PL207</v>
          </cell>
        </row>
        <row r="215">
          <cell r="B215" t="str">
            <v>PL208</v>
          </cell>
        </row>
        <row r="216">
          <cell r="B216" t="str">
            <v>PL209</v>
          </cell>
        </row>
        <row r="217">
          <cell r="B217" t="str">
            <v>PL210</v>
          </cell>
        </row>
        <row r="218">
          <cell r="B218" t="str">
            <v>PL211</v>
          </cell>
        </row>
        <row r="219">
          <cell r="B219" t="str">
            <v>PL212</v>
          </cell>
        </row>
        <row r="220">
          <cell r="B220" t="str">
            <v>PL213</v>
          </cell>
        </row>
        <row r="221">
          <cell r="B221" t="str">
            <v>PL214</v>
          </cell>
        </row>
        <row r="222">
          <cell r="B222" t="str">
            <v>PL215</v>
          </cell>
        </row>
        <row r="223">
          <cell r="B223" t="str">
            <v>PL216</v>
          </cell>
        </row>
        <row r="224">
          <cell r="B224" t="str">
            <v>PL217</v>
          </cell>
        </row>
        <row r="225">
          <cell r="B225" t="str">
            <v>PL218</v>
          </cell>
        </row>
        <row r="226">
          <cell r="B226" t="str">
            <v>PL219</v>
          </cell>
        </row>
        <row r="227">
          <cell r="B227" t="str">
            <v>PL220</v>
          </cell>
        </row>
        <row r="228">
          <cell r="B228" t="str">
            <v>PL221</v>
          </cell>
        </row>
        <row r="229">
          <cell r="B229" t="str">
            <v>PL222</v>
          </cell>
        </row>
        <row r="230">
          <cell r="B230" t="str">
            <v>PL223</v>
          </cell>
        </row>
        <row r="231">
          <cell r="B231" t="str">
            <v>PL224</v>
          </cell>
        </row>
        <row r="232">
          <cell r="B232" t="str">
            <v>PL225</v>
          </cell>
        </row>
        <row r="233">
          <cell r="B233" t="str">
            <v>PL226</v>
          </cell>
        </row>
        <row r="234">
          <cell r="B234" t="str">
            <v>PL227</v>
          </cell>
        </row>
        <row r="235">
          <cell r="B235" t="str">
            <v>PL228</v>
          </cell>
        </row>
        <row r="236">
          <cell r="B236" t="str">
            <v>PL229</v>
          </cell>
        </row>
        <row r="237">
          <cell r="B237" t="str">
            <v>PL230</v>
          </cell>
        </row>
        <row r="238">
          <cell r="B238" t="str">
            <v>PL231</v>
          </cell>
        </row>
        <row r="239">
          <cell r="B239" t="str">
            <v>PL232</v>
          </cell>
        </row>
        <row r="240">
          <cell r="B240" t="str">
            <v>PL233</v>
          </cell>
        </row>
        <row r="241">
          <cell r="B241" t="str">
            <v>PL234</v>
          </cell>
        </row>
        <row r="242">
          <cell r="B242" t="str">
            <v>PL235</v>
          </cell>
        </row>
        <row r="243">
          <cell r="B243" t="str">
            <v>PL236</v>
          </cell>
        </row>
        <row r="244">
          <cell r="B244" t="str">
            <v>PL237</v>
          </cell>
        </row>
        <row r="245">
          <cell r="B245" t="str">
            <v>PL238</v>
          </cell>
        </row>
        <row r="246">
          <cell r="B246" t="str">
            <v>PL239</v>
          </cell>
        </row>
        <row r="247">
          <cell r="B247" t="str">
            <v>PL240</v>
          </cell>
        </row>
        <row r="248">
          <cell r="B248" t="str">
            <v>PL241</v>
          </cell>
        </row>
        <row r="249">
          <cell r="B249" t="str">
            <v>PL242</v>
          </cell>
        </row>
        <row r="250">
          <cell r="B250" t="str">
            <v>PL243</v>
          </cell>
        </row>
        <row r="251">
          <cell r="B251" t="str">
            <v>PL244</v>
          </cell>
        </row>
        <row r="252">
          <cell r="B252" t="str">
            <v>PL245</v>
          </cell>
        </row>
        <row r="253">
          <cell r="B253" t="str">
            <v>PL246</v>
          </cell>
        </row>
        <row r="254">
          <cell r="B254" t="str">
            <v>PL247</v>
          </cell>
        </row>
        <row r="255">
          <cell r="B255" t="str">
            <v>PL248</v>
          </cell>
        </row>
        <row r="256">
          <cell r="B256" t="str">
            <v>PL249</v>
          </cell>
        </row>
        <row r="257">
          <cell r="B257" t="str">
            <v>PL250</v>
          </cell>
          <cell r="F257" t="str">
            <v>PY</v>
          </cell>
          <cell r="G257" t="str">
            <v>TSHISOLA KAPALU</v>
          </cell>
          <cell r="N257" t="str">
            <v>14 AV Kayombo/Q.Kalubwe</v>
          </cell>
        </row>
        <row r="258">
          <cell r="B258" t="str">
            <v>PL251</v>
          </cell>
        </row>
        <row r="259">
          <cell r="B259" t="str">
            <v>PL252</v>
          </cell>
        </row>
        <row r="260">
          <cell r="B260" t="str">
            <v>PL253</v>
          </cell>
        </row>
        <row r="261">
          <cell r="B261" t="str">
            <v>PL254</v>
          </cell>
        </row>
        <row r="262">
          <cell r="B262" t="str">
            <v>PL255</v>
          </cell>
        </row>
        <row r="263">
          <cell r="B263" t="str">
            <v>PL256</v>
          </cell>
        </row>
        <row r="264">
          <cell r="B264" t="str">
            <v>PL257</v>
          </cell>
        </row>
        <row r="265">
          <cell r="B265" t="str">
            <v>PL258</v>
          </cell>
        </row>
        <row r="266">
          <cell r="B266" t="str">
            <v>PL259</v>
          </cell>
        </row>
        <row r="267">
          <cell r="B267" t="str">
            <v>PL260</v>
          </cell>
        </row>
        <row r="268">
          <cell r="B268" t="str">
            <v>PL261</v>
          </cell>
        </row>
        <row r="269">
          <cell r="B269" t="str">
            <v>PL262</v>
          </cell>
        </row>
        <row r="270">
          <cell r="B270" t="str">
            <v>PL263</v>
          </cell>
        </row>
        <row r="271">
          <cell r="B271" t="str">
            <v>PL264</v>
          </cell>
        </row>
        <row r="272">
          <cell r="B272" t="str">
            <v>PL265</v>
          </cell>
        </row>
        <row r="273">
          <cell r="B273" t="str">
            <v>PL266</v>
          </cell>
        </row>
        <row r="274">
          <cell r="B274" t="str">
            <v>PL267</v>
          </cell>
        </row>
        <row r="275">
          <cell r="B275" t="str">
            <v>PL268</v>
          </cell>
        </row>
        <row r="276">
          <cell r="B276" t="str">
            <v>PL269</v>
          </cell>
        </row>
        <row r="277">
          <cell r="B277" t="str">
            <v>PL270</v>
          </cell>
        </row>
        <row r="278">
          <cell r="B278" t="str">
            <v>PL271</v>
          </cell>
        </row>
        <row r="279">
          <cell r="B279" t="str">
            <v>PL272</v>
          </cell>
        </row>
        <row r="280">
          <cell r="B280" t="str">
            <v>PL273</v>
          </cell>
        </row>
        <row r="281">
          <cell r="B281" t="str">
            <v>PL274</v>
          </cell>
        </row>
        <row r="282">
          <cell r="B282" t="str">
            <v>PL275</v>
          </cell>
          <cell r="D282">
            <v>816997155</v>
          </cell>
          <cell r="F282" t="str">
            <v>PY</v>
          </cell>
          <cell r="G282" t="str">
            <v>NTANGA MUTOMBO</v>
          </cell>
        </row>
        <row r="283">
          <cell r="B283" t="str">
            <v>PL276</v>
          </cell>
        </row>
        <row r="284">
          <cell r="B284" t="str">
            <v>PL277</v>
          </cell>
          <cell r="D284">
            <v>842752062</v>
          </cell>
          <cell r="F284" t="str">
            <v>PY</v>
          </cell>
          <cell r="G284" t="str">
            <v>TSHIBAMBA KASONGO</v>
          </cell>
          <cell r="N284" t="str">
            <v>KAMOTO/CIRC</v>
          </cell>
        </row>
        <row r="285">
          <cell r="B285" t="str">
            <v>PL278</v>
          </cell>
          <cell r="D285">
            <v>8409859</v>
          </cell>
          <cell r="F285" t="str">
            <v>abd</v>
          </cell>
          <cell r="G285" t="str">
            <v>BONDEKE BOMOLO</v>
          </cell>
          <cell r="N285" t="str">
            <v>KASANGULU/CIRC</v>
          </cell>
        </row>
        <row r="286">
          <cell r="B286" t="str">
            <v>PL279</v>
          </cell>
          <cell r="D286" t="str">
            <v>0975222803</v>
          </cell>
          <cell r="F286" t="str">
            <v>PY</v>
          </cell>
          <cell r="G286" t="str">
            <v>LUSAMBA BOPE</v>
          </cell>
          <cell r="N286" t="str">
            <v>AV. DU CAMPUS</v>
          </cell>
        </row>
        <row r="287">
          <cell r="B287" t="str">
            <v>PL280</v>
          </cell>
        </row>
        <row r="288">
          <cell r="B288" t="str">
            <v>PL281</v>
          </cell>
          <cell r="D288" t="str">
            <v>0972555044</v>
          </cell>
          <cell r="F288" t="str">
            <v>PY</v>
          </cell>
          <cell r="G288" t="str">
            <v>KANKU MULUNDA</v>
          </cell>
          <cell r="N288" t="str">
            <v>12 AV MA CAMPAGNE</v>
          </cell>
        </row>
        <row r="289">
          <cell r="B289" t="str">
            <v>PL282</v>
          </cell>
          <cell r="D289" t="str">
            <v>0814935827</v>
          </cell>
          <cell r="F289" t="str">
            <v>PY</v>
          </cell>
          <cell r="G289" t="str">
            <v>SABI NGABIEM</v>
          </cell>
          <cell r="N289" t="str">
            <v>66 AV. MOHAMED</v>
          </cell>
        </row>
        <row r="290">
          <cell r="B290" t="str">
            <v>PL283</v>
          </cell>
          <cell r="D290" t="str">
            <v>0993792484</v>
          </cell>
          <cell r="F290" t="str">
            <v>PY</v>
          </cell>
          <cell r="G290" t="str">
            <v>NTUNKA NKOLOMONI</v>
          </cell>
          <cell r="N290" t="str">
            <v>AV. DOCTEUR KALOMBO/CRAA</v>
          </cell>
        </row>
        <row r="291">
          <cell r="B291" t="str">
            <v>PL284</v>
          </cell>
          <cell r="D291" t="str">
            <v>0994441944</v>
          </cell>
          <cell r="F291" t="str">
            <v>PY</v>
          </cell>
          <cell r="G291" t="str">
            <v>NSENGA KIBEMBA</v>
          </cell>
          <cell r="N291" t="str">
            <v>AV. PIERRE VIVANTE/CAMP SCOUT</v>
          </cell>
        </row>
        <row r="292">
          <cell r="B292" t="str">
            <v>PL285</v>
          </cell>
          <cell r="D292" t="str">
            <v>0996736675/0999173540</v>
          </cell>
          <cell r="F292" t="str">
            <v>PY</v>
          </cell>
          <cell r="G292" t="str">
            <v>NTAMBWE KAKWENDA</v>
          </cell>
          <cell r="N292" t="str">
            <v>18 AV. MIAMI/GAMBELA I</v>
          </cell>
        </row>
        <row r="293">
          <cell r="B293" t="str">
            <v>PL286</v>
          </cell>
        </row>
        <row r="294">
          <cell r="B294" t="str">
            <v>PL287</v>
          </cell>
          <cell r="D294">
            <v>899334658</v>
          </cell>
          <cell r="F294" t="str">
            <v>PY</v>
          </cell>
          <cell r="G294" t="str">
            <v>LUBENJI KALALA</v>
          </cell>
          <cell r="N294" t="str">
            <v>19176 AV DE LA GLOIRE</v>
          </cell>
        </row>
        <row r="295">
          <cell r="B295" t="str">
            <v>PL288</v>
          </cell>
          <cell r="D295">
            <v>970292522</v>
          </cell>
          <cell r="F295" t="str">
            <v>PY</v>
          </cell>
          <cell r="G295" t="str">
            <v>MWAMBI KABENGELE</v>
          </cell>
          <cell r="N295" t="str">
            <v>AV DU CAMP</v>
          </cell>
        </row>
        <row r="296">
          <cell r="B296" t="str">
            <v>PL289</v>
          </cell>
          <cell r="D296">
            <v>992922508</v>
          </cell>
          <cell r="F296" t="str">
            <v>PY</v>
          </cell>
          <cell r="G296" t="str">
            <v>MISENGAMBU KANDE</v>
          </cell>
          <cell r="N296" t="str">
            <v>Av du Camp</v>
          </cell>
        </row>
        <row r="297">
          <cell r="B297" t="str">
            <v>PL290</v>
          </cell>
          <cell r="D297">
            <v>972092937</v>
          </cell>
          <cell r="F297" t="str">
            <v>PY</v>
          </cell>
          <cell r="G297" t="str">
            <v>KINA MUNDENDA</v>
          </cell>
          <cell r="N297" t="str">
            <v>Q/MOISE</v>
          </cell>
        </row>
        <row r="298">
          <cell r="B298" t="str">
            <v>PL291</v>
          </cell>
        </row>
        <row r="299">
          <cell r="B299" t="str">
            <v>PL292</v>
          </cell>
          <cell r="D299" t="str">
            <v>0992922508</v>
          </cell>
          <cell r="F299" t="str">
            <v>PY</v>
          </cell>
          <cell r="G299" t="str">
            <v>KANDE KABENGELE</v>
          </cell>
          <cell r="N299" t="str">
            <v>AV. DU CAMPUS</v>
          </cell>
        </row>
        <row r="300">
          <cell r="B300" t="str">
            <v>PL293</v>
          </cell>
          <cell r="D300" t="str">
            <v>0992922508</v>
          </cell>
          <cell r="F300" t="str">
            <v>PY</v>
          </cell>
          <cell r="G300" t="str">
            <v>KANKU KANDE</v>
          </cell>
          <cell r="N300" t="str">
            <v>AV. DU CAMP</v>
          </cell>
        </row>
        <row r="301">
          <cell r="B301" t="str">
            <v>PL294</v>
          </cell>
          <cell r="D301">
            <v>899334658</v>
          </cell>
          <cell r="F301" t="str">
            <v>PY</v>
          </cell>
          <cell r="G301" t="str">
            <v>KANKOLONGO KALALA</v>
          </cell>
          <cell r="N301" t="str">
            <v>1917-6 DE LA GLOIRE</v>
          </cell>
        </row>
        <row r="302">
          <cell r="B302" t="str">
            <v>PL295</v>
          </cell>
          <cell r="D302" t="str">
            <v>0899334958</v>
          </cell>
          <cell r="F302" t="str">
            <v>PY</v>
          </cell>
          <cell r="G302" t="str">
            <v>KAYIBA KALALA</v>
          </cell>
          <cell r="N302" t="str">
            <v>1917-6 DE LA GLOIRE</v>
          </cell>
        </row>
        <row r="303">
          <cell r="B303" t="str">
            <v>PL296</v>
          </cell>
          <cell r="D303" t="str">
            <v>0841190004</v>
          </cell>
          <cell r="F303" t="str">
            <v>PY</v>
          </cell>
          <cell r="G303" t="str">
            <v>NGOY KABASH</v>
          </cell>
          <cell r="N303" t="str">
            <v>33 AV. KALOMBO</v>
          </cell>
        </row>
        <row r="304">
          <cell r="B304" t="str">
            <v>PL297</v>
          </cell>
          <cell r="D304" t="str">
            <v>0990528748</v>
          </cell>
          <cell r="F304" t="str">
            <v>PY</v>
          </cell>
          <cell r="G304" t="str">
            <v>MUJINGA KABEDI</v>
          </cell>
          <cell r="N304" t="str">
            <v>AV. GEN TSHI</v>
          </cell>
        </row>
        <row r="305">
          <cell r="B305" t="str">
            <v>PL298</v>
          </cell>
          <cell r="D305">
            <v>820005617</v>
          </cell>
          <cell r="F305" t="str">
            <v>abd</v>
          </cell>
          <cell r="G305" t="str">
            <v>DIANUA BELE</v>
          </cell>
          <cell r="N305" t="str">
            <v>60 AV. KAPOLOWE</v>
          </cell>
        </row>
        <row r="306">
          <cell r="B306" t="str">
            <v>PL299</v>
          </cell>
          <cell r="D306">
            <v>998884546</v>
          </cell>
          <cell r="F306" t="str">
            <v>PY</v>
          </cell>
          <cell r="G306" t="str">
            <v>MBWATILA MUHAMBA</v>
          </cell>
          <cell r="N306" t="str">
            <v>AV. DU CONSERVATEUR</v>
          </cell>
        </row>
        <row r="307">
          <cell r="B307" t="str">
            <v>PL300</v>
          </cell>
          <cell r="D307" t="str">
            <v>0997774746</v>
          </cell>
          <cell r="F307" t="str">
            <v>PY</v>
          </cell>
          <cell r="G307" t="str">
            <v>NGALULA NZEWU</v>
          </cell>
          <cell r="N307" t="str">
            <v>01 DU CAMP</v>
          </cell>
        </row>
        <row r="308">
          <cell r="B308" t="str">
            <v>PL301</v>
          </cell>
          <cell r="D308" t="str">
            <v>0990443257</v>
          </cell>
          <cell r="F308" t="str">
            <v>PY</v>
          </cell>
          <cell r="G308" t="str">
            <v>TEKELA NZEWU</v>
          </cell>
          <cell r="N308" t="str">
            <v>01. DU CAMP</v>
          </cell>
        </row>
        <row r="309">
          <cell r="B309" t="str">
            <v>PL302</v>
          </cell>
        </row>
        <row r="310">
          <cell r="B310" t="str">
            <v>PL303</v>
          </cell>
          <cell r="D310">
            <v>808084284</v>
          </cell>
          <cell r="F310" t="str">
            <v>PY</v>
          </cell>
          <cell r="G310" t="str">
            <v>NUMBI  KAMWANYA</v>
          </cell>
          <cell r="N310" t="str">
            <v>N°10 Av De la Gloire</v>
          </cell>
        </row>
        <row r="311">
          <cell r="B311" t="str">
            <v>PL304</v>
          </cell>
          <cell r="D311">
            <v>991448596</v>
          </cell>
          <cell r="F311" t="str">
            <v>PY</v>
          </cell>
          <cell r="G311" t="str">
            <v>MULIMBA LULA</v>
          </cell>
          <cell r="N311" t="str">
            <v>Av de la pasification</v>
          </cell>
        </row>
        <row r="312">
          <cell r="B312" t="str">
            <v>PL305</v>
          </cell>
          <cell r="D312">
            <v>976978507</v>
          </cell>
          <cell r="F312" t="str">
            <v>abd</v>
          </cell>
          <cell r="G312" t="str">
            <v>BANZA WA UMBA</v>
          </cell>
          <cell r="N312" t="str">
            <v>AV.  DR UMBA/KALUBWE</v>
          </cell>
        </row>
        <row r="313">
          <cell r="B313" t="str">
            <v>PL306</v>
          </cell>
          <cell r="D313">
            <v>990268855</v>
          </cell>
          <cell r="F313" t="str">
            <v>PY</v>
          </cell>
          <cell r="G313" t="str">
            <v>SALIMA ATIBU</v>
          </cell>
          <cell r="N313" t="str">
            <v>1009AV. KAHUMBA, glf</v>
          </cell>
        </row>
        <row r="314">
          <cell r="B314" t="str">
            <v>PL307</v>
          </cell>
          <cell r="D314">
            <v>990268855</v>
          </cell>
          <cell r="F314" t="str">
            <v>PY</v>
          </cell>
          <cell r="G314" t="str">
            <v>ANDJELANI ATIBU</v>
          </cell>
          <cell r="N314" t="str">
            <v>1009 AV. PROF KAHUMBA/GOLF</v>
          </cell>
        </row>
        <row r="315">
          <cell r="B315" t="str">
            <v>PL308</v>
          </cell>
          <cell r="D315">
            <v>993138694</v>
          </cell>
          <cell r="F315" t="str">
            <v>PY</v>
          </cell>
          <cell r="G315" t="str">
            <v>ODIMBA WA OKUNDJI</v>
          </cell>
          <cell r="N315" t="str">
            <v>2942 AV. KALOMBO</v>
          </cell>
        </row>
        <row r="316">
          <cell r="B316" t="str">
            <v>PL309</v>
          </cell>
          <cell r="D316" t="str">
            <v>0992684318/0997167460</v>
          </cell>
          <cell r="F316" t="str">
            <v>PY</v>
          </cell>
          <cell r="G316" t="str">
            <v>MUNYIANGE MUYAMBO</v>
          </cell>
          <cell r="N316" t="str">
            <v>100 AV. DES ETOILES/ KALUBWE</v>
          </cell>
        </row>
        <row r="317">
          <cell r="B317" t="str">
            <v>PL310</v>
          </cell>
          <cell r="D317" t="str">
            <v>0976768824</v>
          </cell>
          <cell r="F317" t="str">
            <v>PY</v>
          </cell>
          <cell r="G317" t="str">
            <v>MUMBA SIMBA</v>
          </cell>
          <cell r="N317" t="str">
            <v>AV. DES DEPOTS/BIAYI</v>
          </cell>
        </row>
        <row r="318">
          <cell r="B318" t="str">
            <v>PL311</v>
          </cell>
          <cell r="D318">
            <v>976978507</v>
          </cell>
          <cell r="F318" t="str">
            <v>abd</v>
          </cell>
          <cell r="G318" t="str">
            <v>MPANDE KIBWELA</v>
          </cell>
          <cell r="N318" t="str">
            <v>AV. DR UMBA/KALUBWE</v>
          </cell>
        </row>
        <row r="319">
          <cell r="B319" t="str">
            <v>PL312</v>
          </cell>
          <cell r="D319" t="str">
            <v>0999765040/0859005307</v>
          </cell>
          <cell r="F319" t="str">
            <v>PY</v>
          </cell>
          <cell r="G319" t="str">
            <v>LUBANZA LUBANZA</v>
          </cell>
          <cell r="N319" t="str">
            <v>139 AV. MANIKA</v>
          </cell>
        </row>
        <row r="320">
          <cell r="B320" t="str">
            <v>PL313</v>
          </cell>
          <cell r="D320">
            <v>978267786</v>
          </cell>
          <cell r="F320" t="str">
            <v>PY</v>
          </cell>
          <cell r="G320" t="str">
            <v xml:space="preserve">NGOY KABISHA </v>
          </cell>
          <cell r="N320" t="str">
            <v>KASANGULU PROL/7A</v>
          </cell>
        </row>
        <row r="321">
          <cell r="B321" t="str">
            <v>PL314</v>
          </cell>
          <cell r="D321">
            <v>977767421</v>
          </cell>
          <cell r="F321" t="str">
            <v>abd</v>
          </cell>
          <cell r="G321" t="str">
            <v>NGALULA KATUMBA</v>
          </cell>
          <cell r="N321" t="str">
            <v>121 DU PDG</v>
          </cell>
        </row>
        <row r="322">
          <cell r="B322" t="str">
            <v>PL315</v>
          </cell>
          <cell r="D322">
            <v>995331532</v>
          </cell>
          <cell r="F322" t="str">
            <v>PY</v>
          </cell>
          <cell r="G322" t="str">
            <v>KABEYA KALONJI</v>
          </cell>
          <cell r="N322" t="str">
            <v>AV Kasongo Q/Gambela3</v>
          </cell>
        </row>
        <row r="323">
          <cell r="B323" t="str">
            <v>PL316</v>
          </cell>
          <cell r="D323" t="str">
            <v>0824758012</v>
          </cell>
          <cell r="F323" t="str">
            <v>PY</v>
          </cell>
          <cell r="G323" t="str">
            <v>TSHITENGE BANTU</v>
          </cell>
          <cell r="N323" t="str">
            <v>3097 AV. SHITURU</v>
          </cell>
        </row>
        <row r="324">
          <cell r="B324" t="str">
            <v>PL317</v>
          </cell>
          <cell r="D324" t="str">
            <v>0972507780/0898063158</v>
          </cell>
          <cell r="F324" t="str">
            <v>PY</v>
          </cell>
          <cell r="G324" t="str">
            <v>KAMINA SOMPO</v>
          </cell>
          <cell r="N324" t="str">
            <v>AV. MULUNDA/Q. REGIS</v>
          </cell>
        </row>
        <row r="325">
          <cell r="B325" t="str">
            <v>PL318</v>
          </cell>
          <cell r="D325" t="str">
            <v>0811930875</v>
          </cell>
          <cell r="F325" t="str">
            <v>PY</v>
          </cell>
          <cell r="G325" t="str">
            <v>MUYUMBA KABANGE</v>
          </cell>
          <cell r="N325" t="str">
            <v>21 AV. DIADJIDJA/Q. KASSAPA</v>
          </cell>
        </row>
        <row r="326">
          <cell r="B326" t="str">
            <v>PL319</v>
          </cell>
          <cell r="D326">
            <v>972736784</v>
          </cell>
          <cell r="F326" t="str">
            <v>PY</v>
          </cell>
          <cell r="G326" t="str">
            <v>YOWA ILUNGA</v>
          </cell>
          <cell r="N326" t="str">
            <v>21 DU CONSERVATEUR</v>
          </cell>
        </row>
        <row r="327">
          <cell r="B327" t="str">
            <v>PL320</v>
          </cell>
          <cell r="D327" t="str">
            <v>0834950467</v>
          </cell>
          <cell r="F327" t="str">
            <v>PY</v>
          </cell>
          <cell r="G327" t="str">
            <v>KASONGO BANDIBANGA</v>
          </cell>
          <cell r="N327" t="str">
            <v>14 AV. ZINC/JOLIE CITY</v>
          </cell>
        </row>
        <row r="328">
          <cell r="B328" t="str">
            <v>PL321</v>
          </cell>
          <cell r="D328" t="str">
            <v>0975409459</v>
          </cell>
          <cell r="F328" t="str">
            <v>PY</v>
          </cell>
          <cell r="G328" t="str">
            <v>VUNOKA MUDJIWA</v>
          </cell>
          <cell r="N328" t="str">
            <v>AV. LUFUNGULA</v>
          </cell>
        </row>
        <row r="329">
          <cell r="B329" t="str">
            <v>PL322</v>
          </cell>
          <cell r="D329" t="str">
            <v>0910381205</v>
          </cell>
          <cell r="F329" t="str">
            <v>PY</v>
          </cell>
          <cell r="G329" t="str">
            <v>BANZA MALONDA</v>
          </cell>
          <cell r="N329" t="str">
            <v>AV. BIAYI</v>
          </cell>
        </row>
        <row r="330">
          <cell r="B330" t="str">
            <v>PL323</v>
          </cell>
          <cell r="D330">
            <v>974603058</v>
          </cell>
          <cell r="F330" t="str">
            <v>abd</v>
          </cell>
          <cell r="G330" t="str">
            <v>ASHA TSHIBANLONZA</v>
          </cell>
          <cell r="N330" t="str">
            <v>AV. BIAYI</v>
          </cell>
        </row>
        <row r="331">
          <cell r="B331" t="str">
            <v>PL324</v>
          </cell>
          <cell r="D331" t="str">
            <v>097555868</v>
          </cell>
          <cell r="F331" t="str">
            <v>PY</v>
          </cell>
          <cell r="G331" t="str">
            <v>MULONGO MANGAZA</v>
          </cell>
          <cell r="N331" t="str">
            <v>150 KASANGULU</v>
          </cell>
        </row>
        <row r="332">
          <cell r="B332" t="str">
            <v>PL325</v>
          </cell>
          <cell r="D332" t="str">
            <v>0828256619</v>
          </cell>
          <cell r="F332" t="str">
            <v>PY</v>
          </cell>
          <cell r="G332" t="str">
            <v>MUZAMA MUSAMPUNGU</v>
          </cell>
          <cell r="N332" t="str">
            <v>KASANGULU</v>
          </cell>
        </row>
        <row r="333">
          <cell r="B333" t="str">
            <v>PL326</v>
          </cell>
          <cell r="D333" t="str">
            <v>0979373937</v>
          </cell>
          <cell r="F333" t="str">
            <v>PY</v>
          </cell>
          <cell r="G333" t="str">
            <v>KAZUMBA MUDJINDJI</v>
          </cell>
          <cell r="N333" t="str">
            <v>150 AV. KASANGULU</v>
          </cell>
        </row>
        <row r="334">
          <cell r="B334" t="str">
            <v>PL327</v>
          </cell>
          <cell r="D334" t="str">
            <v>0992489993</v>
          </cell>
          <cell r="F334" t="str">
            <v>PY</v>
          </cell>
          <cell r="G334" t="str">
            <v>ILUNGA BADIBANGA</v>
          </cell>
          <cell r="N334" t="str">
            <v>05 KASANGULU PROL</v>
          </cell>
        </row>
        <row r="335">
          <cell r="B335" t="str">
            <v>PL328</v>
          </cell>
          <cell r="D335" t="str">
            <v>0900122591</v>
          </cell>
          <cell r="F335" t="str">
            <v>PY</v>
          </cell>
          <cell r="G335" t="str">
            <v>AMULI MUBALAMA</v>
          </cell>
          <cell r="N335" t="str">
            <v>2875 ROUTE KASSAPA</v>
          </cell>
        </row>
        <row r="336">
          <cell r="B336" t="str">
            <v>PL329</v>
          </cell>
          <cell r="D336">
            <v>975230300</v>
          </cell>
          <cell r="F336" t="str">
            <v>abd</v>
          </cell>
          <cell r="G336" t="str">
            <v>KALENGA KITWA</v>
          </cell>
          <cell r="N336" t="str">
            <v>32 AV. LUMUNA</v>
          </cell>
        </row>
        <row r="337">
          <cell r="B337" t="str">
            <v>PL330</v>
          </cell>
          <cell r="D337" t="str">
            <v>0850539376</v>
          </cell>
          <cell r="F337" t="str">
            <v>PY</v>
          </cell>
          <cell r="G337" t="str">
            <v>KASHOBA ILUNGA</v>
          </cell>
          <cell r="N337" t="str">
            <v>42 AV. DU PDG</v>
          </cell>
        </row>
        <row r="338">
          <cell r="B338" t="str">
            <v>PL331</v>
          </cell>
          <cell r="D338" t="str">
            <v>0972656611</v>
          </cell>
          <cell r="F338" t="str">
            <v>PY</v>
          </cell>
          <cell r="G338" t="str">
            <v>MUJINGA TCHOMBA</v>
          </cell>
          <cell r="N338" t="str">
            <v>3137 KASANGULU/SINAI</v>
          </cell>
        </row>
        <row r="339">
          <cell r="B339" t="str">
            <v>PL332</v>
          </cell>
          <cell r="D339">
            <v>971228724</v>
          </cell>
          <cell r="F339" t="str">
            <v>abd</v>
          </cell>
          <cell r="G339" t="str">
            <v>MESU MBUYAMBA</v>
          </cell>
          <cell r="N339" t="str">
            <v>ROUTE KIPOPO/Q. KASSAPA</v>
          </cell>
        </row>
        <row r="340">
          <cell r="B340" t="str">
            <v>PL333</v>
          </cell>
          <cell r="D340">
            <v>840850492</v>
          </cell>
          <cell r="F340" t="str">
            <v>abd</v>
          </cell>
          <cell r="G340" t="str">
            <v>KALANGA ALEKI</v>
          </cell>
          <cell r="N340" t="str">
            <v>53 AV. SHIMBA/CRAA</v>
          </cell>
        </row>
        <row r="341">
          <cell r="B341" t="str">
            <v>PL334</v>
          </cell>
          <cell r="D341" t="str">
            <v>0810808089</v>
          </cell>
          <cell r="F341" t="str">
            <v>PY</v>
          </cell>
          <cell r="G341" t="str">
            <v>SHOYA ONYA</v>
          </cell>
          <cell r="N341" t="str">
            <v>71 AV. KASANGULU/DU PDG</v>
          </cell>
        </row>
        <row r="342">
          <cell r="B342" t="str">
            <v>PL335</v>
          </cell>
          <cell r="D342" t="str">
            <v>0810570523/0993494885</v>
          </cell>
          <cell r="F342" t="str">
            <v>PY</v>
          </cell>
          <cell r="G342" t="str">
            <v>YONGOLA ESAKALONGA</v>
          </cell>
          <cell r="N342" t="str">
            <v>43 AV. KOLWEZI</v>
          </cell>
        </row>
        <row r="343">
          <cell r="B343" t="str">
            <v>PL336</v>
          </cell>
          <cell r="D343" t="str">
            <v>0899928850/0844322878</v>
          </cell>
          <cell r="F343" t="str">
            <v>PY</v>
          </cell>
          <cell r="G343" t="str">
            <v>MUNZERE AYISANGA</v>
          </cell>
          <cell r="N343" t="str">
            <v>68 AV. KASUMBALESA</v>
          </cell>
        </row>
        <row r="344">
          <cell r="B344" t="str">
            <v>PL337</v>
          </cell>
          <cell r="D344" t="str">
            <v>0897233047</v>
          </cell>
          <cell r="F344" t="str">
            <v>PY</v>
          </cell>
          <cell r="G344" t="str">
            <v>ELONGA MATEKA</v>
          </cell>
          <cell r="N344" t="str">
            <v>10AV. ANDRE KASONGO</v>
          </cell>
        </row>
        <row r="345">
          <cell r="B345" t="str">
            <v>PL338</v>
          </cell>
          <cell r="D345" t="str">
            <v>0974421028</v>
          </cell>
          <cell r="F345" t="str">
            <v>PY</v>
          </cell>
          <cell r="G345" t="str">
            <v>BOLAVIE KATALAYI</v>
          </cell>
          <cell r="N345" t="str">
            <v>15 AV.DU CARMEL</v>
          </cell>
        </row>
        <row r="346">
          <cell r="B346" t="str">
            <v>PL339</v>
          </cell>
          <cell r="D346" t="str">
            <v>0976500598/0891935303</v>
          </cell>
          <cell r="F346" t="str">
            <v>PY</v>
          </cell>
          <cell r="G346" t="str">
            <v>NGOY MONGA</v>
          </cell>
          <cell r="N346" t="str">
            <v>20 AV. DE L'EGLISE</v>
          </cell>
        </row>
        <row r="347">
          <cell r="B347" t="str">
            <v>PL340</v>
          </cell>
          <cell r="D347" t="str">
            <v>0816314355/0971630338</v>
          </cell>
          <cell r="F347" t="str">
            <v>PY</v>
          </cell>
          <cell r="G347" t="str">
            <v>YAMUNO MUTOMBO</v>
          </cell>
          <cell r="N347" t="str">
            <v>AV. LUNA/CAMP GR</v>
          </cell>
        </row>
        <row r="348">
          <cell r="B348" t="str">
            <v>PL341</v>
          </cell>
          <cell r="D348" t="str">
            <v>0970905488</v>
          </cell>
          <cell r="F348" t="str">
            <v>PY</v>
          </cell>
          <cell r="G348" t="str">
            <v>MUNGAMBA OMARI</v>
          </cell>
          <cell r="N348" t="str">
            <v>Q/KASSAPA</v>
          </cell>
        </row>
        <row r="349">
          <cell r="B349" t="str">
            <v>PL342</v>
          </cell>
          <cell r="D349" t="str">
            <v>0850932909/0990262434</v>
          </cell>
          <cell r="F349" t="str">
            <v>PY</v>
          </cell>
          <cell r="G349" t="str">
            <v>KISIMBA BENDERA ILUNGA</v>
          </cell>
          <cell r="N349" t="str">
            <v>35 AV. DE LA GLOIRE</v>
          </cell>
        </row>
        <row r="350">
          <cell r="B350" t="str">
            <v>PL343</v>
          </cell>
          <cell r="D350" t="str">
            <v>0990262434</v>
          </cell>
          <cell r="F350" t="str">
            <v>PY</v>
          </cell>
          <cell r="G350" t="str">
            <v>ILUNGA NKUBA</v>
          </cell>
          <cell r="N350" t="str">
            <v>35 DE LA GLOIRE</v>
          </cell>
        </row>
        <row r="351">
          <cell r="B351" t="str">
            <v>PL344</v>
          </cell>
          <cell r="D351">
            <v>823753313</v>
          </cell>
          <cell r="F351" t="str">
            <v>abd</v>
          </cell>
          <cell r="G351" t="str">
            <v>KASONGO MANDA</v>
          </cell>
          <cell r="N351" t="str">
            <v>DE L' EGLISE</v>
          </cell>
        </row>
        <row r="352">
          <cell r="B352" t="str">
            <v>PL345</v>
          </cell>
          <cell r="D352">
            <v>890188675</v>
          </cell>
          <cell r="F352" t="str">
            <v>abd</v>
          </cell>
          <cell r="G352" t="str">
            <v>BANZA MUMBA</v>
          </cell>
          <cell r="N352" t="str">
            <v>289 AV. NYEMBO</v>
          </cell>
        </row>
        <row r="353">
          <cell r="B353" t="str">
            <v>PL346</v>
          </cell>
          <cell r="D353">
            <v>992096130</v>
          </cell>
          <cell r="F353" t="str">
            <v>PY</v>
          </cell>
          <cell r="G353" t="str">
            <v>TSHIJIK KAYAKEZ</v>
          </cell>
          <cell r="N353" t="str">
            <v>KALOMBO/ CADASTRE</v>
          </cell>
        </row>
        <row r="354">
          <cell r="B354" t="str">
            <v>PL347</v>
          </cell>
          <cell r="D354">
            <v>997048395</v>
          </cell>
          <cell r="F354" t="str">
            <v>abd</v>
          </cell>
          <cell r="G354" t="str">
            <v>KALUBI PIERRE JONAS</v>
          </cell>
          <cell r="N354" t="str">
            <v>27 AV. ARIEL/GAMBELA 2</v>
          </cell>
        </row>
        <row r="355">
          <cell r="B355" t="str">
            <v>PL348</v>
          </cell>
          <cell r="D355">
            <v>99748395</v>
          </cell>
          <cell r="F355" t="str">
            <v>PY</v>
          </cell>
          <cell r="G355" t="str">
            <v>MANZAMBI TSHIPATA</v>
          </cell>
          <cell r="N355" t="str">
            <v>27 AV.ARIEL</v>
          </cell>
        </row>
        <row r="356">
          <cell r="B356" t="str">
            <v>PL349</v>
          </cell>
          <cell r="D356">
            <v>991244799</v>
          </cell>
          <cell r="F356" t="str">
            <v>PY</v>
          </cell>
          <cell r="G356" t="str">
            <v>BUKASA ILUNGA</v>
          </cell>
          <cell r="N356" t="str">
            <v>13 AV. MARA</v>
          </cell>
        </row>
        <row r="357">
          <cell r="B357" t="str">
            <v>PL350</v>
          </cell>
          <cell r="D357" t="str">
            <v>0814618675</v>
          </cell>
          <cell r="F357" t="str">
            <v>PY</v>
          </cell>
          <cell r="G357" t="str">
            <v>CEMETH KABAMBI</v>
          </cell>
          <cell r="N357" t="str">
            <v>04 AV. AUGUSTIN TSHOVO</v>
          </cell>
        </row>
        <row r="358">
          <cell r="B358" t="str">
            <v>PL351</v>
          </cell>
          <cell r="D358" t="str">
            <v>0814618675</v>
          </cell>
          <cell r="F358" t="str">
            <v>PY</v>
          </cell>
          <cell r="G358" t="str">
            <v>MUSAU KABAMBI</v>
          </cell>
          <cell r="N358" t="str">
            <v>04 AV. AUGUSTIN TSHOVO</v>
          </cell>
        </row>
        <row r="359">
          <cell r="B359" t="str">
            <v>PL352</v>
          </cell>
          <cell r="D359" t="str">
            <v>0180347080</v>
          </cell>
          <cell r="F359" t="str">
            <v>PY</v>
          </cell>
          <cell r="G359" t="str">
            <v>MAFUTA RASHIDI</v>
          </cell>
          <cell r="N359" t="str">
            <v>26 DE LA MOSQUE</v>
          </cell>
        </row>
        <row r="360">
          <cell r="B360" t="str">
            <v>PL353</v>
          </cell>
          <cell r="D360" t="str">
            <v>0810100909</v>
          </cell>
          <cell r="F360" t="str">
            <v>PY</v>
          </cell>
          <cell r="G360" t="str">
            <v>MAKENDA KASONGO</v>
          </cell>
          <cell r="N360" t="str">
            <v>04 AV. LUBIA</v>
          </cell>
        </row>
        <row r="361">
          <cell r="B361" t="str">
            <v>PL354</v>
          </cell>
          <cell r="D361">
            <v>810100909</v>
          </cell>
          <cell r="F361" t="str">
            <v>PY</v>
          </cell>
          <cell r="G361" t="str">
            <v>NGOIE WA ILUNGA</v>
          </cell>
          <cell r="N361" t="str">
            <v>04 AV. LUBIA</v>
          </cell>
        </row>
        <row r="362">
          <cell r="B362" t="str">
            <v>PL355</v>
          </cell>
          <cell r="D362">
            <v>810100909</v>
          </cell>
          <cell r="F362" t="str">
            <v>PY</v>
          </cell>
          <cell r="G362" t="str">
            <v>NUMBI WA ILUNGA</v>
          </cell>
          <cell r="N362" t="str">
            <v>04 AV. LUBIA</v>
          </cell>
        </row>
        <row r="363">
          <cell r="B363" t="str">
            <v>PL356</v>
          </cell>
          <cell r="D363" t="str">
            <v>0973453298</v>
          </cell>
          <cell r="F363" t="str">
            <v>PY</v>
          </cell>
          <cell r="G363" t="str">
            <v>LUBANGA NYIAMABU</v>
          </cell>
          <cell r="N363" t="str">
            <v>33 DU CONSERVATEUR</v>
          </cell>
        </row>
        <row r="364">
          <cell r="B364" t="str">
            <v>PL357</v>
          </cell>
          <cell r="D364" t="str">
            <v>0973453298</v>
          </cell>
          <cell r="F364" t="str">
            <v>PY</v>
          </cell>
          <cell r="G364" t="str">
            <v>MUMBA LUBANGA</v>
          </cell>
          <cell r="N364" t="str">
            <v>33 DU CONSERVATEUR</v>
          </cell>
        </row>
        <row r="365">
          <cell r="B365" t="str">
            <v>PL358</v>
          </cell>
          <cell r="D365" t="str">
            <v>0993180158/0829616695</v>
          </cell>
          <cell r="F365" t="str">
            <v>PY</v>
          </cell>
          <cell r="G365" t="str">
            <v>MBOYO ILOLO</v>
          </cell>
          <cell r="N365" t="str">
            <v>AV. SHIMBA /CRAA</v>
          </cell>
        </row>
        <row r="366">
          <cell r="B366" t="str">
            <v>PL359</v>
          </cell>
          <cell r="D366" t="str">
            <v>0993180158/0829616695</v>
          </cell>
          <cell r="F366" t="str">
            <v>PY</v>
          </cell>
          <cell r="G366" t="str">
            <v>ISAKO ILOLO</v>
          </cell>
          <cell r="N366" t="str">
            <v>AV. SHIMBA/CRAA</v>
          </cell>
        </row>
        <row r="367">
          <cell r="B367" t="str">
            <v>PL360</v>
          </cell>
          <cell r="D367">
            <v>827154011</v>
          </cell>
          <cell r="F367" t="str">
            <v>PY</v>
          </cell>
          <cell r="G367" t="str">
            <v>MUKWESO NZALANDIMBU</v>
          </cell>
          <cell r="N367" t="str">
            <v>2835 KALOMBO</v>
          </cell>
        </row>
        <row r="368">
          <cell r="B368" t="str">
            <v>PL361</v>
          </cell>
          <cell r="D368">
            <v>99464136</v>
          </cell>
          <cell r="F368" t="str">
            <v>abd</v>
          </cell>
          <cell r="G368" t="str">
            <v>KALALA MFUNGI</v>
          </cell>
          <cell r="N368" t="str">
            <v>27 DU POTAGER</v>
          </cell>
        </row>
        <row r="369">
          <cell r="B369" t="str">
            <v>PL362</v>
          </cell>
          <cell r="D369">
            <v>971352733</v>
          </cell>
          <cell r="F369" t="str">
            <v>PY</v>
          </cell>
          <cell r="G369" t="str">
            <v>MUTEBA TSHIYAZE</v>
          </cell>
          <cell r="N369" t="str">
            <v>29 AV SONGA/KALUBWE</v>
          </cell>
        </row>
        <row r="370">
          <cell r="B370" t="str">
            <v>PL363</v>
          </cell>
          <cell r="D370">
            <v>970377001</v>
          </cell>
          <cell r="F370" t="str">
            <v>PY</v>
          </cell>
          <cell r="G370" t="str">
            <v>PEMBE MISENGA</v>
          </cell>
          <cell r="N370" t="str">
            <v>46 AV. DU CONSERV</v>
          </cell>
        </row>
        <row r="371">
          <cell r="B371" t="str">
            <v>PL364</v>
          </cell>
          <cell r="D371">
            <v>997214027</v>
          </cell>
          <cell r="F371" t="str">
            <v>PY</v>
          </cell>
          <cell r="G371" t="str">
            <v>NSANGANA TSHIMOWA</v>
          </cell>
          <cell r="N371" t="str">
            <v>AV. DU CARMEL</v>
          </cell>
        </row>
        <row r="372">
          <cell r="B372" t="str">
            <v>PL365</v>
          </cell>
          <cell r="D372">
            <v>972113677</v>
          </cell>
          <cell r="F372" t="str">
            <v>PY</v>
          </cell>
          <cell r="G372" t="str">
            <v>KAZADI KAZADI</v>
          </cell>
          <cell r="N372" t="str">
            <v>15 AV. TRESOR/CRAA</v>
          </cell>
        </row>
        <row r="373">
          <cell r="B373" t="str">
            <v>PL366</v>
          </cell>
          <cell r="D373">
            <v>972113677</v>
          </cell>
          <cell r="F373" t="str">
            <v>PY</v>
          </cell>
          <cell r="G373" t="str">
            <v>MABWE KAZADI</v>
          </cell>
          <cell r="N373" t="str">
            <v>15 AV. TRESOR/CRAA</v>
          </cell>
        </row>
        <row r="374">
          <cell r="B374" t="str">
            <v>PL367</v>
          </cell>
          <cell r="D374">
            <v>972795508</v>
          </cell>
          <cell r="F374" t="str">
            <v>PY</v>
          </cell>
          <cell r="G374" t="str">
            <v>NGOY  KASONGO</v>
          </cell>
          <cell r="N374" t="str">
            <v>3629 AV. KASANGULU</v>
          </cell>
        </row>
        <row r="375">
          <cell r="B375" t="str">
            <v>PL368</v>
          </cell>
          <cell r="D375" t="str">
            <v>0994406957/0997018589</v>
          </cell>
          <cell r="F375" t="str">
            <v>abd</v>
          </cell>
          <cell r="G375" t="str">
            <v>KAPEMBWA KAMANGU</v>
          </cell>
          <cell r="N375" t="str">
            <v>06 SHAMBUYI APPOLO/CRAA</v>
          </cell>
        </row>
        <row r="376">
          <cell r="B376" t="str">
            <v>PL369</v>
          </cell>
          <cell r="D376">
            <v>994406957</v>
          </cell>
          <cell r="F376" t="str">
            <v>abd</v>
          </cell>
          <cell r="G376" t="str">
            <v>KAPEMBWA MUJINGA</v>
          </cell>
          <cell r="N376" t="str">
            <v>6SHAMBUYI APPOLO/CRAA</v>
          </cell>
        </row>
        <row r="377">
          <cell r="B377" t="str">
            <v>PL370</v>
          </cell>
          <cell r="D377">
            <v>976636596</v>
          </cell>
          <cell r="F377" t="str">
            <v>PY</v>
          </cell>
          <cell r="G377" t="str">
            <v>KABONGO MULUMBA</v>
          </cell>
          <cell r="N377" t="str">
            <v>3035 AV. MPANDE</v>
          </cell>
        </row>
        <row r="378">
          <cell r="B378" t="str">
            <v>PL371</v>
          </cell>
          <cell r="D378">
            <v>976661944</v>
          </cell>
          <cell r="F378" t="str">
            <v>PY</v>
          </cell>
          <cell r="G378" t="str">
            <v>NSENGA BANZA</v>
          </cell>
          <cell r="N378" t="str">
            <v>22 DU POTAGER/KALUBWE</v>
          </cell>
        </row>
        <row r="379">
          <cell r="B379" t="str">
            <v>PL372</v>
          </cell>
          <cell r="D379" t="str">
            <v>0826686177/0973057733</v>
          </cell>
          <cell r="F379" t="str">
            <v>PY</v>
          </cell>
          <cell r="G379" t="str">
            <v>APAME NDJATE</v>
          </cell>
          <cell r="N379" t="str">
            <v>AV BIAYI</v>
          </cell>
        </row>
        <row r="380">
          <cell r="B380" t="str">
            <v>PL373</v>
          </cell>
          <cell r="D380">
            <v>991008472</v>
          </cell>
          <cell r="F380" t="str">
            <v>PY</v>
          </cell>
          <cell r="G380" t="str">
            <v>NTAMBWE MPOLESHA</v>
          </cell>
          <cell r="N380" t="str">
            <v>14B AV. FENE</v>
          </cell>
        </row>
        <row r="381">
          <cell r="B381" t="str">
            <v>PL374</v>
          </cell>
          <cell r="D381">
            <v>991008472</v>
          </cell>
          <cell r="F381" t="str">
            <v>PY</v>
          </cell>
          <cell r="G381" t="str">
            <v>KAZAKU MPOLESHA</v>
          </cell>
          <cell r="N381" t="str">
            <v>14B AV. FENE</v>
          </cell>
        </row>
        <row r="382">
          <cell r="B382" t="str">
            <v>PL375</v>
          </cell>
          <cell r="D382" t="str">
            <v>0990528748/0970954799</v>
          </cell>
          <cell r="F382" t="str">
            <v>PY</v>
          </cell>
          <cell r="G382" t="str">
            <v xml:space="preserve">TSHISUKU KALUMBA </v>
          </cell>
          <cell r="N382" t="str">
            <v>INTERNAT/CAMP BLANC</v>
          </cell>
        </row>
        <row r="383">
          <cell r="B383" t="str">
            <v>PL376</v>
          </cell>
          <cell r="D383">
            <v>974332694</v>
          </cell>
          <cell r="F383" t="str">
            <v>PY</v>
          </cell>
          <cell r="G383" t="str">
            <v>LUMBWE KAFISHE</v>
          </cell>
          <cell r="N383" t="str">
            <v>20 AV. DU CAMPUS PROL</v>
          </cell>
        </row>
        <row r="384">
          <cell r="B384" t="str">
            <v>PL377</v>
          </cell>
          <cell r="D384">
            <v>971253856</v>
          </cell>
          <cell r="F384" t="str">
            <v>PY</v>
          </cell>
          <cell r="G384" t="str">
            <v>MASHING KAPEMB</v>
          </cell>
          <cell r="N384" t="str">
            <v>10 AV. DES ETOILES</v>
          </cell>
        </row>
        <row r="385">
          <cell r="B385" t="str">
            <v>PL378</v>
          </cell>
          <cell r="D385">
            <v>993382466</v>
          </cell>
          <cell r="F385" t="str">
            <v>abd</v>
          </cell>
          <cell r="G385" t="str">
            <v>MUTOMBO NDALAMBA</v>
          </cell>
          <cell r="N385" t="str">
            <v>13 AV. DU CAMPUS</v>
          </cell>
        </row>
        <row r="386">
          <cell r="B386" t="str">
            <v>PL379</v>
          </cell>
          <cell r="D386" t="str">
            <v>0852229045</v>
          </cell>
          <cell r="F386" t="str">
            <v>PY</v>
          </cell>
          <cell r="G386" t="str">
            <v>TSHIBWABWA MUKENDI</v>
          </cell>
          <cell r="N386" t="str">
            <v>10 KASANGULU</v>
          </cell>
        </row>
        <row r="387">
          <cell r="B387" t="str">
            <v>PL380</v>
          </cell>
          <cell r="D387">
            <v>976661944</v>
          </cell>
          <cell r="F387" t="str">
            <v>PY</v>
          </cell>
          <cell r="G387" t="str">
            <v>NKULU MULONGO</v>
          </cell>
          <cell r="N387" t="str">
            <v>22 DU POTAGER/KALUBWE</v>
          </cell>
        </row>
        <row r="388">
          <cell r="B388" t="str">
            <v>PL381</v>
          </cell>
          <cell r="D388">
            <v>810071701</v>
          </cell>
          <cell r="F388" t="str">
            <v>PY</v>
          </cell>
          <cell r="G388" t="str">
            <v>KAKONGE TUNDWA</v>
          </cell>
          <cell r="N388" t="str">
            <v>51 AV. IMARA/KALUBWE</v>
          </cell>
        </row>
        <row r="389">
          <cell r="B389" t="str">
            <v>PL382</v>
          </cell>
          <cell r="D389">
            <v>854690442</v>
          </cell>
          <cell r="F389" t="str">
            <v>PY</v>
          </cell>
          <cell r="G389" t="str">
            <v>KAPINGA KAZADI</v>
          </cell>
          <cell r="N389" t="str">
            <v>3390 AV. KAPELE</v>
          </cell>
        </row>
        <row r="390">
          <cell r="B390" t="str">
            <v>PL383</v>
          </cell>
          <cell r="D390">
            <v>844429190</v>
          </cell>
          <cell r="F390" t="str">
            <v>PY</v>
          </cell>
          <cell r="G390" t="str">
            <v>MUJINGA  MAJIKU</v>
          </cell>
          <cell r="N390" t="str">
            <v>KAHOZI/Q. KASSAPA</v>
          </cell>
        </row>
        <row r="391">
          <cell r="B391" t="str">
            <v>PL384</v>
          </cell>
        </row>
        <row r="392">
          <cell r="B392" t="str">
            <v>PL385</v>
          </cell>
          <cell r="D392" t="str">
            <v>0813537325/09980669210</v>
          </cell>
          <cell r="F392" t="str">
            <v>PY</v>
          </cell>
          <cell r="G392" t="str">
            <v>KIMBE KIABWANAKAZI</v>
          </cell>
          <cell r="N392" t="str">
            <v>KASANGULU/BETHSAIDA</v>
          </cell>
        </row>
        <row r="393">
          <cell r="B393" t="str">
            <v>PL386</v>
          </cell>
          <cell r="D393">
            <v>810634199</v>
          </cell>
          <cell r="F393" t="str">
            <v>PY</v>
          </cell>
          <cell r="G393" t="str">
            <v>MKOMBA NGOMBE</v>
          </cell>
          <cell r="N393" t="str">
            <v>10 AV. MONINGA</v>
          </cell>
        </row>
        <row r="394">
          <cell r="B394" t="str">
            <v>PL387</v>
          </cell>
          <cell r="D394" t="str">
            <v/>
          </cell>
          <cell r="F394" t="str">
            <v>PY</v>
          </cell>
          <cell r="G394" t="str">
            <v>FERUZI KALONGOLA</v>
          </cell>
          <cell r="N394" t="str">
            <v>AV DE LA GLOIRE</v>
          </cell>
        </row>
        <row r="395">
          <cell r="B395" t="str">
            <v>PL388</v>
          </cell>
          <cell r="D395" t="str">
            <v/>
          </cell>
          <cell r="F395" t="str">
            <v>PY</v>
          </cell>
          <cell r="G395" t="str">
            <v>MANGALA KALONGOLA</v>
          </cell>
          <cell r="N395" t="str">
            <v>DE LA GLOIRE</v>
          </cell>
        </row>
        <row r="396">
          <cell r="B396" t="str">
            <v>PL389</v>
          </cell>
          <cell r="F396" t="str">
            <v>PY</v>
          </cell>
          <cell r="G396" t="str">
            <v>BILONDA TSHANGALA</v>
          </cell>
        </row>
        <row r="397">
          <cell r="B397" t="str">
            <v>PL390</v>
          </cell>
          <cell r="D397" t="str">
            <v/>
          </cell>
          <cell r="F397" t="str">
            <v>PY</v>
          </cell>
          <cell r="G397" t="str">
            <v>MBAYA TSHANGALA</v>
          </cell>
          <cell r="N397" t="str">
            <v>Q/CRAA</v>
          </cell>
        </row>
        <row r="398">
          <cell r="B398" t="str">
            <v>PL391</v>
          </cell>
          <cell r="D398" t="str">
            <v/>
          </cell>
          <cell r="F398" t="str">
            <v>PY</v>
          </cell>
          <cell r="G398" t="str">
            <v>MASENGU TSHANGALA</v>
          </cell>
          <cell r="N398" t="str">
            <v>Q/CRAA</v>
          </cell>
        </row>
        <row r="399">
          <cell r="B399" t="str">
            <v>PL392</v>
          </cell>
          <cell r="D399" t="str">
            <v>0972383995</v>
          </cell>
          <cell r="F399" t="str">
            <v>PY</v>
          </cell>
          <cell r="G399" t="str">
            <v>ANNA MIRINDI</v>
          </cell>
          <cell r="N399" t="str">
            <v>AV DE LA MOSQUE</v>
          </cell>
        </row>
        <row r="400">
          <cell r="B400" t="str">
            <v>PL393</v>
          </cell>
          <cell r="D400" t="str">
            <v>0810808089</v>
          </cell>
          <cell r="F400" t="str">
            <v>PY</v>
          </cell>
          <cell r="G400" t="str">
            <v>SAFI YOME</v>
          </cell>
          <cell r="N400" t="str">
            <v>71 AV KASANGULU/PDG</v>
          </cell>
        </row>
        <row r="401">
          <cell r="B401" t="str">
            <v>PL394</v>
          </cell>
          <cell r="D401" t="str">
            <v>0810808089</v>
          </cell>
          <cell r="F401" t="str">
            <v>PY</v>
          </cell>
          <cell r="G401" t="str">
            <v>ILUNGA ONYA</v>
          </cell>
          <cell r="N401" t="str">
            <v>71 KAS/DU PDG</v>
          </cell>
        </row>
        <row r="402">
          <cell r="B402" t="str">
            <v>PL395</v>
          </cell>
          <cell r="D402" t="str">
            <v>0997014249/0978346109</v>
          </cell>
          <cell r="F402" t="str">
            <v>PY</v>
          </cell>
          <cell r="G402" t="str">
            <v>BANZA NGOIE</v>
          </cell>
          <cell r="N402" t="str">
            <v>AV COLONNEL LENGE/KASSAPA</v>
          </cell>
        </row>
        <row r="403">
          <cell r="B403" t="str">
            <v>PL396</v>
          </cell>
          <cell r="F403" t="str">
            <v>abd</v>
          </cell>
          <cell r="G403" t="str">
            <v>MBAYA TSHOVO</v>
          </cell>
          <cell r="N403" t="str">
            <v>KALOMBO/DU CADASTRE</v>
          </cell>
        </row>
        <row r="404">
          <cell r="B404" t="str">
            <v>PL397</v>
          </cell>
          <cell r="D404">
            <v>991207217</v>
          </cell>
          <cell r="F404" t="str">
            <v>abd</v>
          </cell>
          <cell r="G404" t="str">
            <v>MUPUNG A MUSWIL</v>
          </cell>
          <cell r="N404" t="str">
            <v>43 DU POTAGER/KALUBWE</v>
          </cell>
        </row>
        <row r="405">
          <cell r="B405" t="str">
            <v>PL398</v>
          </cell>
          <cell r="F405" t="str">
            <v>PY</v>
          </cell>
          <cell r="G405" t="str">
            <v>KALENGA LWABA</v>
          </cell>
        </row>
        <row r="406">
          <cell r="B406" t="str">
            <v>PL399</v>
          </cell>
        </row>
        <row r="407">
          <cell r="B407" t="str">
            <v>PL400</v>
          </cell>
          <cell r="F407" t="str">
            <v>PY</v>
          </cell>
          <cell r="G407" t="str">
            <v>NDAYA MWANDA</v>
          </cell>
        </row>
        <row r="408">
          <cell r="B408" t="str">
            <v>PL401</v>
          </cell>
          <cell r="D408">
            <v>816377510</v>
          </cell>
          <cell r="F408" t="str">
            <v>abd</v>
          </cell>
          <cell r="G408" t="str">
            <v>MARIUS KANYINDA</v>
          </cell>
          <cell r="N408" t="str">
            <v>SINAI/DU CONGO</v>
          </cell>
        </row>
        <row r="409">
          <cell r="B409" t="str">
            <v>PL402</v>
          </cell>
          <cell r="D409">
            <v>971300313</v>
          </cell>
          <cell r="F409" t="str">
            <v>abd</v>
          </cell>
          <cell r="G409" t="str">
            <v>NGOMBE WA NZAJI</v>
          </cell>
          <cell r="N409" t="str">
            <v>508 AV KALOMBO</v>
          </cell>
        </row>
        <row r="410">
          <cell r="B410" t="str">
            <v>PL403</v>
          </cell>
          <cell r="D410" t="str">
            <v>0811775357/09908823696</v>
          </cell>
          <cell r="F410" t="str">
            <v>PY</v>
          </cell>
          <cell r="G410" t="str">
            <v>LUFUNGULA BALASO</v>
          </cell>
          <cell r="N410" t="str">
            <v>08 AV KAHENGA</v>
          </cell>
        </row>
        <row r="411">
          <cell r="B411" t="str">
            <v>PL404</v>
          </cell>
          <cell r="D411">
            <v>972873965</v>
          </cell>
          <cell r="F411" t="str">
            <v>PY</v>
          </cell>
          <cell r="G411" t="str">
            <v>NYEMBO KAMATE</v>
          </cell>
          <cell r="N411" t="str">
            <v>KASANGULU PROL</v>
          </cell>
        </row>
        <row r="412">
          <cell r="B412" t="str">
            <v>PL405</v>
          </cell>
          <cell r="D412">
            <v>853907111</v>
          </cell>
          <cell r="F412" t="str">
            <v>PY</v>
          </cell>
          <cell r="G412" t="str">
            <v>KANDOLO MUKENDI</v>
          </cell>
          <cell r="N412" t="str">
            <v>04 AV KASANGULU</v>
          </cell>
        </row>
        <row r="413">
          <cell r="B413" t="str">
            <v>PL406</v>
          </cell>
          <cell r="D413">
            <v>997709346</v>
          </cell>
          <cell r="F413" t="str">
            <v>PY</v>
          </cell>
          <cell r="G413" t="str">
            <v>MUKAMBA BADIBANGA</v>
          </cell>
          <cell r="N413" t="str">
            <v>69 KAS/DU CARMEL</v>
          </cell>
        </row>
        <row r="414">
          <cell r="B414" t="str">
            <v>PL407</v>
          </cell>
          <cell r="D414">
            <v>853434885</v>
          </cell>
          <cell r="F414" t="str">
            <v>PY</v>
          </cell>
          <cell r="G414" t="str">
            <v>KAMWANGALA MUKOLE</v>
          </cell>
          <cell r="N414" t="str">
            <v>26 AV MPANDA</v>
          </cell>
        </row>
        <row r="415">
          <cell r="B415" t="str">
            <v>PL408</v>
          </cell>
          <cell r="F415" t="str">
            <v>PY</v>
          </cell>
          <cell r="G415" t="str">
            <v>PEMBA BARAKA</v>
          </cell>
        </row>
        <row r="416">
          <cell r="B416" t="str">
            <v>PL409</v>
          </cell>
          <cell r="D416">
            <v>855770792</v>
          </cell>
          <cell r="F416" t="str">
            <v>PY</v>
          </cell>
          <cell r="G416" t="str">
            <v>KASEKA KADIMA</v>
          </cell>
          <cell r="N416" t="str">
            <v>AV DU CONGO</v>
          </cell>
        </row>
        <row r="417">
          <cell r="B417" t="str">
            <v>PL410</v>
          </cell>
          <cell r="F417" t="str">
            <v>abd</v>
          </cell>
          <cell r="G417" t="str">
            <v>KATAYI KATAYI</v>
          </cell>
        </row>
        <row r="418">
          <cell r="B418" t="str">
            <v>PL411</v>
          </cell>
          <cell r="D418">
            <v>994020977</v>
          </cell>
          <cell r="F418" t="str">
            <v>PY</v>
          </cell>
          <cell r="G418" t="str">
            <v>MULUSA KAYEMBE</v>
          </cell>
          <cell r="N418" t="str">
            <v>AV DU CONGO</v>
          </cell>
        </row>
        <row r="419">
          <cell r="B419" t="str">
            <v>PL412</v>
          </cell>
          <cell r="F419" t="str">
            <v>abd</v>
          </cell>
          <cell r="G419" t="str">
            <v>ALY FATUMA</v>
          </cell>
          <cell r="N419" t="str">
            <v>05 AV DE DEPOT</v>
          </cell>
        </row>
        <row r="420">
          <cell r="B420" t="str">
            <v>PL413</v>
          </cell>
          <cell r="D420">
            <v>972003280</v>
          </cell>
          <cell r="F420" t="str">
            <v>PY</v>
          </cell>
          <cell r="G420" t="str">
            <v>KASONGO MWAMBA</v>
          </cell>
          <cell r="N420" t="str">
            <v>AV LA PUISSANCE/GAMB 3</v>
          </cell>
        </row>
        <row r="421">
          <cell r="B421" t="str">
            <v>PL414</v>
          </cell>
          <cell r="D421">
            <v>893304939</v>
          </cell>
          <cell r="F421" t="str">
            <v>abd</v>
          </cell>
          <cell r="G421" t="str">
            <v>KABAMBA KATUJUDI</v>
          </cell>
          <cell r="N421" t="str">
            <v>31 AV KIMAKESSE/KASSAPA</v>
          </cell>
        </row>
        <row r="422">
          <cell r="B422" t="str">
            <v>PL415</v>
          </cell>
          <cell r="D422" t="str">
            <v>0819338337/0852981070</v>
          </cell>
          <cell r="F422" t="str">
            <v>PY</v>
          </cell>
          <cell r="G422" t="str">
            <v>SANGWA MAELEZO</v>
          </cell>
          <cell r="N422" t="str">
            <v>AV DE LA MOSQUE</v>
          </cell>
        </row>
        <row r="423">
          <cell r="B423" t="str">
            <v>PL416</v>
          </cell>
          <cell r="D423" t="str">
            <v>0992991808</v>
          </cell>
          <cell r="F423" t="str">
            <v>PY</v>
          </cell>
          <cell r="G423" t="str">
            <v>MOLA KUMINGA</v>
          </cell>
          <cell r="N423" t="str">
            <v>56A KASANG/SINAI</v>
          </cell>
        </row>
        <row r="424">
          <cell r="B424" t="str">
            <v>PL417</v>
          </cell>
          <cell r="D424" t="str">
            <v>0995577920</v>
          </cell>
          <cell r="F424" t="str">
            <v>PY</v>
          </cell>
          <cell r="G424" t="str">
            <v>KAYUMBA MUTONKOLE</v>
          </cell>
          <cell r="N424" t="str">
            <v>3222KASANGULU/KAKONTWE</v>
          </cell>
        </row>
        <row r="425">
          <cell r="B425" t="str">
            <v>PL418</v>
          </cell>
          <cell r="D425">
            <v>895618289</v>
          </cell>
          <cell r="F425" t="str">
            <v>abd</v>
          </cell>
          <cell r="G425" t="str">
            <v>NKAYA MUKUNA</v>
          </cell>
        </row>
        <row r="426">
          <cell r="B426" t="str">
            <v>PL419</v>
          </cell>
          <cell r="F426" t="str">
            <v>PY</v>
          </cell>
          <cell r="G426" t="str">
            <v>KINKELA BENEDICTE</v>
          </cell>
        </row>
        <row r="427">
          <cell r="B427" t="str">
            <v>PL420</v>
          </cell>
          <cell r="D427" t="str">
            <v/>
          </cell>
          <cell r="F427" t="str">
            <v>PY</v>
          </cell>
          <cell r="G427" t="str">
            <v>KASONGO KASONGO</v>
          </cell>
          <cell r="N427" t="str">
            <v/>
          </cell>
        </row>
        <row r="428">
          <cell r="B428" t="str">
            <v>PL421</v>
          </cell>
          <cell r="D428">
            <v>977097926</v>
          </cell>
          <cell r="F428" t="str">
            <v>PY</v>
          </cell>
          <cell r="G428" t="str">
            <v>NTAMBWE MASTAKI</v>
          </cell>
          <cell r="N428" t="str">
            <v>DE LA GLOIRE/SINAI</v>
          </cell>
        </row>
        <row r="429">
          <cell r="B429" t="str">
            <v>PL422</v>
          </cell>
          <cell r="D429" t="str">
            <v>0810001139</v>
          </cell>
          <cell r="F429" t="str">
            <v>PY</v>
          </cell>
          <cell r="G429" t="str">
            <v>TSHIBANGU MULEPA</v>
          </cell>
          <cell r="N429" t="str">
            <v>18A AV ISSM</v>
          </cell>
        </row>
        <row r="430">
          <cell r="B430" t="str">
            <v>PL423</v>
          </cell>
          <cell r="D430" t="str">
            <v>0810001139</v>
          </cell>
          <cell r="F430" t="str">
            <v>PY</v>
          </cell>
          <cell r="G430" t="str">
            <v>MWENGA MULEPA</v>
          </cell>
          <cell r="N430" t="str">
            <v>18A AV ISSM</v>
          </cell>
        </row>
        <row r="431">
          <cell r="B431" t="str">
            <v>PL424</v>
          </cell>
          <cell r="D431" t="str">
            <v>0855718178/0896063613</v>
          </cell>
          <cell r="F431" t="str">
            <v>PY</v>
          </cell>
          <cell r="G431" t="str">
            <v>TSHITANDAYI BANGAMBA</v>
          </cell>
          <cell r="N431" t="str">
            <v>01 AV MOKONZI/Q KASSAPA</v>
          </cell>
        </row>
        <row r="432">
          <cell r="B432" t="str">
            <v>PL425</v>
          </cell>
          <cell r="D432">
            <v>995577920</v>
          </cell>
          <cell r="F432" t="str">
            <v>abd</v>
          </cell>
          <cell r="G432" t="str">
            <v>KAYUMBA BONDO</v>
          </cell>
          <cell r="N432" t="str">
            <v>3222 KAS/KANKOTWE</v>
          </cell>
        </row>
        <row r="433">
          <cell r="B433" t="str">
            <v>PL426</v>
          </cell>
          <cell r="D433" t="str">
            <v>0995203888/0998466175</v>
          </cell>
          <cell r="F433" t="str">
            <v>PY</v>
          </cell>
          <cell r="G433" t="str">
            <v>MASIYA RAMAZANI</v>
          </cell>
          <cell r="N433" t="str">
            <v>243MAJOR/Q MOISE</v>
          </cell>
        </row>
        <row r="434">
          <cell r="B434" t="str">
            <v>PL427</v>
          </cell>
          <cell r="D434" t="str">
            <v>0997031366</v>
          </cell>
          <cell r="F434" t="str">
            <v>PY</v>
          </cell>
          <cell r="G434" t="str">
            <v>MAFIK MASHANT</v>
          </cell>
          <cell r="N434" t="str">
            <v>23 AV. KASANGULU</v>
          </cell>
        </row>
        <row r="435">
          <cell r="B435" t="str">
            <v>PL428</v>
          </cell>
          <cell r="D435" t="str">
            <v>0999301028</v>
          </cell>
          <cell r="F435" t="str">
            <v>PY</v>
          </cell>
          <cell r="G435" t="str">
            <v>MULONGOYI KAHAMBWE</v>
          </cell>
          <cell r="N435" t="str">
            <v>DU CONSERVATEUR</v>
          </cell>
        </row>
        <row r="436">
          <cell r="B436" t="str">
            <v>PL429</v>
          </cell>
          <cell r="D436" t="str">
            <v>0813800573/0848444945</v>
          </cell>
          <cell r="F436" t="str">
            <v>PY</v>
          </cell>
          <cell r="G436" t="str">
            <v>BOLOKA ILANGILA</v>
          </cell>
          <cell r="N436" t="str">
            <v>10B AV. LDK/KASSAPA</v>
          </cell>
        </row>
        <row r="437">
          <cell r="B437" t="str">
            <v>PL430</v>
          </cell>
          <cell r="D437" t="str">
            <v>0848444945</v>
          </cell>
          <cell r="F437" t="str">
            <v>PY</v>
          </cell>
          <cell r="G437" t="str">
            <v>MUSEKA MWENDA</v>
          </cell>
          <cell r="N437" t="str">
            <v>10B AV. LDK/KASSAPA</v>
          </cell>
        </row>
        <row r="438">
          <cell r="B438" t="str">
            <v>PL431</v>
          </cell>
          <cell r="D438" t="str">
            <v>0813800573</v>
          </cell>
          <cell r="F438" t="str">
            <v>PY</v>
          </cell>
          <cell r="G438" t="str">
            <v>KILUFIA MUJINGA</v>
          </cell>
          <cell r="N438" t="str">
            <v>10B AV. LDK/KASSAPA</v>
          </cell>
        </row>
        <row r="439">
          <cell r="B439" t="str">
            <v>PL432</v>
          </cell>
          <cell r="D439" t="str">
            <v>0813800573</v>
          </cell>
          <cell r="F439" t="str">
            <v>PY</v>
          </cell>
          <cell r="G439" t="str">
            <v>MBAYO WA MPANGA</v>
          </cell>
          <cell r="N439" t="str">
            <v>10B av; LDK/KASSAPA</v>
          </cell>
        </row>
        <row r="440">
          <cell r="B440" t="str">
            <v>PL433</v>
          </cell>
          <cell r="D440" t="str">
            <v>0997605614/0842194043</v>
          </cell>
          <cell r="F440" t="str">
            <v>PY</v>
          </cell>
          <cell r="G440" t="str">
            <v>JEANPI KIBWE</v>
          </cell>
          <cell r="N440" t="str">
            <v>3609B Du Conservateur</v>
          </cell>
        </row>
        <row r="441">
          <cell r="B441" t="str">
            <v>PL434</v>
          </cell>
          <cell r="D441" t="str">
            <v>0997021698</v>
          </cell>
          <cell r="F441" t="str">
            <v>PY</v>
          </cell>
          <cell r="G441" t="str">
            <v>MBIYA MUNTAMBAYI</v>
          </cell>
          <cell r="N441" t="str">
            <v>AV MUTOMBO</v>
          </cell>
        </row>
        <row r="442">
          <cell r="B442" t="str">
            <v>PL435</v>
          </cell>
          <cell r="D442" t="str">
            <v>0844945232</v>
          </cell>
          <cell r="F442" t="str">
            <v>PY</v>
          </cell>
          <cell r="G442" t="str">
            <v>NGANDU MATANDA</v>
          </cell>
          <cell r="N442" t="str">
            <v>18 AV NOVATEUR/Q MOISE</v>
          </cell>
        </row>
        <row r="443">
          <cell r="B443" t="str">
            <v>PL436</v>
          </cell>
          <cell r="D443" t="str">
            <v>0971919796</v>
          </cell>
          <cell r="F443" t="str">
            <v>PY</v>
          </cell>
          <cell r="G443" t="str">
            <v>MINDABU KANSELE</v>
          </cell>
          <cell r="N443" t="str">
            <v>AV KAPELE</v>
          </cell>
        </row>
        <row r="444">
          <cell r="B444" t="str">
            <v>PL437</v>
          </cell>
          <cell r="D444" t="str">
            <v>0999820231</v>
          </cell>
          <cell r="F444" t="str">
            <v>PY</v>
          </cell>
          <cell r="G444" t="str">
            <v>BIMA MUKONKOLE</v>
          </cell>
          <cell r="N444" t="str">
            <v>35 DU CONSERV</v>
          </cell>
        </row>
        <row r="445">
          <cell r="B445" t="str">
            <v>PL438</v>
          </cell>
          <cell r="D445" t="str">
            <v>0852577025</v>
          </cell>
          <cell r="F445" t="str">
            <v>PY</v>
          </cell>
          <cell r="G445" t="str">
            <v>KAYEMB TSHIKAT</v>
          </cell>
          <cell r="N445" t="str">
            <v/>
          </cell>
        </row>
        <row r="446">
          <cell r="B446" t="str">
            <v>PL439</v>
          </cell>
          <cell r="F446" t="str">
            <v>abd</v>
          </cell>
          <cell r="G446" t="str">
            <v>MUTOBA NGOIE</v>
          </cell>
        </row>
        <row r="447">
          <cell r="B447" t="str">
            <v>PL440</v>
          </cell>
          <cell r="F447" t="str">
            <v>PY</v>
          </cell>
          <cell r="G447" t="str">
            <v>KAPOMPWA KALONDA</v>
          </cell>
        </row>
        <row r="448">
          <cell r="B448" t="str">
            <v>PL441</v>
          </cell>
          <cell r="D448">
            <v>973199110</v>
          </cell>
          <cell r="F448" t="str">
            <v>PY</v>
          </cell>
          <cell r="G448" t="str">
            <v>NSENGA MUJINGA</v>
          </cell>
          <cell r="N448" t="str">
            <v>KASANG/DES VOL</v>
          </cell>
        </row>
        <row r="449">
          <cell r="B449" t="str">
            <v>PL442</v>
          </cell>
          <cell r="F449" t="str">
            <v>abd</v>
          </cell>
          <cell r="G449" t="str">
            <v>KAPILA KAPILA</v>
          </cell>
        </row>
        <row r="450">
          <cell r="B450" t="str">
            <v>PL443</v>
          </cell>
          <cell r="D450" t="str">
            <v/>
          </cell>
          <cell r="F450" t="str">
            <v>PY</v>
          </cell>
          <cell r="G450" t="str">
            <v>KAYIBA KAPILA</v>
          </cell>
          <cell r="N450" t="str">
            <v/>
          </cell>
        </row>
        <row r="451">
          <cell r="B451" t="str">
            <v>PL444</v>
          </cell>
          <cell r="D451" t="str">
            <v/>
          </cell>
          <cell r="F451" t="str">
            <v>PY</v>
          </cell>
          <cell r="G451" t="str">
            <v>NDAYA DILENGA</v>
          </cell>
          <cell r="N451" t="str">
            <v/>
          </cell>
        </row>
        <row r="452">
          <cell r="B452" t="str">
            <v>PL445</v>
          </cell>
          <cell r="D452" t="str">
            <v/>
          </cell>
          <cell r="F452" t="str">
            <v>PY</v>
          </cell>
          <cell r="G452" t="str">
            <v>MUTACH KASHAL</v>
          </cell>
          <cell r="N452" t="str">
            <v/>
          </cell>
        </row>
        <row r="453">
          <cell r="B453" t="str">
            <v>PL446</v>
          </cell>
          <cell r="D453" t="str">
            <v/>
          </cell>
          <cell r="F453" t="str">
            <v>PY</v>
          </cell>
          <cell r="G453" t="str">
            <v>MULANGA MATAMBA</v>
          </cell>
          <cell r="N453" t="str">
            <v/>
          </cell>
        </row>
        <row r="454">
          <cell r="B454" t="str">
            <v>PL447</v>
          </cell>
          <cell r="D454" t="str">
            <v/>
          </cell>
          <cell r="F454" t="str">
            <v>PY</v>
          </cell>
          <cell r="G454" t="str">
            <v xml:space="preserve">DILENGA DILENGA </v>
          </cell>
          <cell r="N454" t="str">
            <v/>
          </cell>
        </row>
        <row r="455">
          <cell r="B455" t="str">
            <v>PL448</v>
          </cell>
          <cell r="D455" t="str">
            <v/>
          </cell>
          <cell r="F455" t="str">
            <v>PY</v>
          </cell>
          <cell r="G455" t="str">
            <v>MATAMBA MATAMBA</v>
          </cell>
          <cell r="N455" t="str">
            <v/>
          </cell>
        </row>
        <row r="456">
          <cell r="B456" t="str">
            <v>PL449</v>
          </cell>
          <cell r="D456" t="str">
            <v/>
          </cell>
          <cell r="F456" t="str">
            <v>PY</v>
          </cell>
          <cell r="G456" t="str">
            <v>MWENYI DILENGA</v>
          </cell>
          <cell r="N456" t="str">
            <v/>
          </cell>
        </row>
        <row r="457">
          <cell r="B457" t="str">
            <v>PL450</v>
          </cell>
          <cell r="F457" t="str">
            <v>PY</v>
          </cell>
          <cell r="G457" t="str">
            <v>KOKANA AMBOAKA</v>
          </cell>
        </row>
        <row r="458">
          <cell r="B458" t="str">
            <v>PL451</v>
          </cell>
          <cell r="F458" t="str">
            <v>PY</v>
          </cell>
          <cell r="G458" t="str">
            <v>MBAYO SALISALI</v>
          </cell>
        </row>
        <row r="459">
          <cell r="B459" t="str">
            <v>PL452</v>
          </cell>
          <cell r="D459" t="str">
            <v>0997112272</v>
          </cell>
          <cell r="F459" t="str">
            <v>PY</v>
          </cell>
          <cell r="G459" t="str">
            <v>MBUYU WA MBUYU</v>
          </cell>
          <cell r="N459" t="str">
            <v>8 AV. LISMA/GAMB II</v>
          </cell>
        </row>
        <row r="460">
          <cell r="B460" t="str">
            <v>PL453</v>
          </cell>
          <cell r="D460">
            <v>992403357</v>
          </cell>
          <cell r="F460" t="str">
            <v>PY</v>
          </cell>
          <cell r="G460" t="str">
            <v>TSHISEKEDI TSHIMBALANGA</v>
          </cell>
          <cell r="N460" t="str">
            <v>45 AV DU CONGO</v>
          </cell>
        </row>
        <row r="461">
          <cell r="B461" t="str">
            <v>PL454</v>
          </cell>
          <cell r="D461" t="str">
            <v>0975085551</v>
          </cell>
          <cell r="F461" t="str">
            <v>PY</v>
          </cell>
          <cell r="G461" t="str">
            <v>NGOY MUDILU</v>
          </cell>
          <cell r="N461" t="str">
            <v>12AV KYAPY/GAM 3</v>
          </cell>
        </row>
        <row r="462">
          <cell r="B462" t="str">
            <v>PL455</v>
          </cell>
          <cell r="D462" t="str">
            <v>0998538117</v>
          </cell>
          <cell r="F462" t="str">
            <v>PY</v>
          </cell>
          <cell r="G462" t="str">
            <v>KAHUNDA KAYOPE</v>
          </cell>
          <cell r="N462" t="str">
            <v>30 KASANGULU</v>
          </cell>
        </row>
        <row r="463">
          <cell r="B463" t="str">
            <v>PL456</v>
          </cell>
          <cell r="D463">
            <v>850539376</v>
          </cell>
          <cell r="F463" t="str">
            <v>PY</v>
          </cell>
          <cell r="G463" t="str">
            <v>MUBENESHAYI ILUNGA</v>
          </cell>
          <cell r="N463" t="str">
            <v>AV DU CAMPUS</v>
          </cell>
        </row>
        <row r="464">
          <cell r="B464" t="str">
            <v>PL457</v>
          </cell>
          <cell r="D464">
            <v>990107736</v>
          </cell>
          <cell r="F464" t="str">
            <v>abd</v>
          </cell>
          <cell r="G464" t="str">
            <v>MADIAMOLE AKILI</v>
          </cell>
          <cell r="N464" t="str">
            <v>20 AV FENE</v>
          </cell>
        </row>
        <row r="465">
          <cell r="B465" t="str">
            <v>PL458</v>
          </cell>
          <cell r="D465" t="str">
            <v>0974012222</v>
          </cell>
          <cell r="F465" t="str">
            <v>PY</v>
          </cell>
          <cell r="G465" t="str">
            <v>MUTSHAPA SIMIRE</v>
          </cell>
          <cell r="N465" t="str">
            <v>3528 AV VANGU</v>
          </cell>
        </row>
        <row r="466">
          <cell r="B466" t="str">
            <v>PL459</v>
          </cell>
          <cell r="D466" t="str">
            <v>0974012222</v>
          </cell>
          <cell r="F466" t="str">
            <v>PY</v>
          </cell>
          <cell r="G466" t="str">
            <v>MUTSHAPA UYUNGU</v>
          </cell>
          <cell r="N466" t="str">
            <v>3528 AV VANGU</v>
          </cell>
        </row>
        <row r="467">
          <cell r="B467" t="str">
            <v>PL460</v>
          </cell>
          <cell r="D467" t="str">
            <v/>
          </cell>
          <cell r="F467" t="str">
            <v>PY</v>
          </cell>
          <cell r="G467" t="str">
            <v>KITOKO MUKA</v>
          </cell>
          <cell r="N467" t="str">
            <v>Q/KASSAPA</v>
          </cell>
        </row>
        <row r="468">
          <cell r="B468" t="str">
            <v>PL461</v>
          </cell>
          <cell r="D468" t="str">
            <v>0997018676</v>
          </cell>
          <cell r="F468" t="str">
            <v>PY</v>
          </cell>
          <cell r="G468" t="str">
            <v>ILUNGA TSHILANDA</v>
          </cell>
          <cell r="N468" t="str">
            <v>AV KAPELE</v>
          </cell>
        </row>
        <row r="469">
          <cell r="B469" t="str">
            <v>PL462</v>
          </cell>
          <cell r="D469" t="str">
            <v/>
          </cell>
          <cell r="F469" t="str">
            <v>PY</v>
          </cell>
          <cell r="G469" t="str">
            <v>BUKASA KANDA</v>
          </cell>
          <cell r="N469" t="str">
            <v>GOLF PLATEAU</v>
          </cell>
        </row>
        <row r="470">
          <cell r="B470" t="str">
            <v>PL463</v>
          </cell>
          <cell r="D470" t="str">
            <v>0995634388/0997026834</v>
          </cell>
          <cell r="F470" t="str">
            <v>PY</v>
          </cell>
          <cell r="G470" t="str">
            <v>TSHIKWAKWA MUBIAYI</v>
          </cell>
          <cell r="N470" t="str">
            <v>2843 AV KALOMBO</v>
          </cell>
        </row>
        <row r="471">
          <cell r="B471" t="str">
            <v>PL464</v>
          </cell>
          <cell r="D471" t="str">
            <v/>
          </cell>
          <cell r="F471" t="str">
            <v>PY</v>
          </cell>
          <cell r="G471" t="str">
            <v>KITENGE MUTEL</v>
          </cell>
          <cell r="N471" t="str">
            <v>30 AV KASANGULU</v>
          </cell>
        </row>
        <row r="472">
          <cell r="B472" t="str">
            <v>PL465</v>
          </cell>
          <cell r="D472">
            <v>999376855</v>
          </cell>
          <cell r="F472" t="str">
            <v>PY</v>
          </cell>
          <cell r="G472" t="str">
            <v>KAHOZI KAYUMBA</v>
          </cell>
          <cell r="N472" t="str">
            <v>14 AV VANGU</v>
          </cell>
        </row>
        <row r="473">
          <cell r="B473" t="str">
            <v>PL466</v>
          </cell>
          <cell r="D473" t="str">
            <v>0813800573/0848444945</v>
          </cell>
          <cell r="F473" t="str">
            <v>PY</v>
          </cell>
          <cell r="G473" t="str">
            <v>MASAKU KAMWENYI</v>
          </cell>
          <cell r="N473" t="str">
            <v>10B AV LDK/KASSAPA</v>
          </cell>
        </row>
        <row r="474">
          <cell r="B474" t="str">
            <v>PL467</v>
          </cell>
          <cell r="D474">
            <v>993787887</v>
          </cell>
          <cell r="F474" t="str">
            <v>abd</v>
          </cell>
          <cell r="G474" t="str">
            <v>NKULU ILUNGA</v>
          </cell>
          <cell r="N474" t="str">
            <v>AV KAHENGA</v>
          </cell>
        </row>
        <row r="475">
          <cell r="B475" t="str">
            <v>PL468</v>
          </cell>
          <cell r="D475" t="str">
            <v/>
          </cell>
          <cell r="F475" t="str">
            <v>PY</v>
          </cell>
          <cell r="G475" t="str">
            <v>KASONGO MITONE</v>
          </cell>
          <cell r="N475" t="str">
            <v>AV DU CONSERVATEUR</v>
          </cell>
        </row>
        <row r="476">
          <cell r="B476" t="str">
            <v>PL469</v>
          </cell>
          <cell r="D476" t="str">
            <v/>
          </cell>
          <cell r="F476" t="str">
            <v>PY</v>
          </cell>
          <cell r="G476" t="str">
            <v>KABALA GERMAIN</v>
          </cell>
          <cell r="N476" t="str">
            <v/>
          </cell>
        </row>
        <row r="477">
          <cell r="B477" t="str">
            <v>PL470</v>
          </cell>
          <cell r="D477" t="str">
            <v/>
          </cell>
          <cell r="F477" t="str">
            <v>PY</v>
          </cell>
          <cell r="G477" t="str">
            <v>MUBERE KAMATE</v>
          </cell>
          <cell r="N477" t="str">
            <v/>
          </cell>
        </row>
        <row r="478">
          <cell r="B478" t="str">
            <v>PL471</v>
          </cell>
          <cell r="D478" t="str">
            <v/>
          </cell>
          <cell r="F478" t="str">
            <v>PY</v>
          </cell>
          <cell r="G478" t="str">
            <v>MAYELE MPOYI</v>
          </cell>
          <cell r="N478" t="str">
            <v/>
          </cell>
        </row>
        <row r="479">
          <cell r="B479" t="str">
            <v>PL472</v>
          </cell>
          <cell r="D479" t="str">
            <v>0974500668</v>
          </cell>
          <cell r="F479" t="str">
            <v>PY</v>
          </cell>
          <cell r="G479" t="str">
            <v>BINKU WA BINKU</v>
          </cell>
          <cell r="N479" t="str">
            <v>10 DU CONSERVATEUR</v>
          </cell>
        </row>
        <row r="480">
          <cell r="B480" t="str">
            <v>PL473</v>
          </cell>
          <cell r="D480" t="str">
            <v>0993583009</v>
          </cell>
          <cell r="F480" t="str">
            <v>PY</v>
          </cell>
          <cell r="G480" t="str">
            <v>NGOY MULANGA</v>
          </cell>
          <cell r="N480" t="str">
            <v>10 AV LOMANI/KALUMBWE</v>
          </cell>
        </row>
        <row r="481">
          <cell r="B481" t="str">
            <v>PL474</v>
          </cell>
          <cell r="D481">
            <v>850922534</v>
          </cell>
          <cell r="F481" t="str">
            <v>abd</v>
          </cell>
          <cell r="G481" t="str">
            <v>KISWAKA BAMWANYA</v>
          </cell>
          <cell r="N481" t="str">
            <v>28 AV ARIEL/GAMB</v>
          </cell>
        </row>
        <row r="482">
          <cell r="B482" t="str">
            <v>PL475</v>
          </cell>
          <cell r="D482">
            <v>972000900</v>
          </cell>
          <cell r="F482" t="str">
            <v>abd</v>
          </cell>
          <cell r="G482" t="str">
            <v>BORTAS KATANGA</v>
          </cell>
          <cell r="N482" t="str">
            <v>AV KASANGULU</v>
          </cell>
        </row>
        <row r="483">
          <cell r="B483" t="str">
            <v>PL476</v>
          </cell>
          <cell r="D483">
            <v>972000900</v>
          </cell>
          <cell r="F483" t="str">
            <v>abd</v>
          </cell>
          <cell r="G483" t="str">
            <v>DOMINIQUE BORTAS KATANGA</v>
          </cell>
          <cell r="N483" t="str">
            <v>AV  KASANGULU</v>
          </cell>
        </row>
        <row r="484">
          <cell r="B484" t="str">
            <v>PL477</v>
          </cell>
          <cell r="D484" t="str">
            <v>0997021698</v>
          </cell>
          <cell r="F484" t="str">
            <v>PY</v>
          </cell>
          <cell r="G484" t="str">
            <v>KALENGA KOMBE</v>
          </cell>
          <cell r="N484" t="str">
            <v>AV MUTOMBO</v>
          </cell>
        </row>
        <row r="485">
          <cell r="B485" t="str">
            <v>PL478</v>
          </cell>
          <cell r="D485" t="str">
            <v/>
          </cell>
          <cell r="F485" t="str">
            <v>PY</v>
          </cell>
          <cell r="G485" t="str">
            <v>NZEJI MPOYI</v>
          </cell>
          <cell r="N485" t="str">
            <v>AV DU CONSERVATEUR</v>
          </cell>
        </row>
        <row r="486">
          <cell r="B486" t="str">
            <v>PL479</v>
          </cell>
          <cell r="D486" t="str">
            <v>0810810098</v>
          </cell>
          <cell r="F486" t="str">
            <v>PY</v>
          </cell>
          <cell r="G486" t="str">
            <v>MALAMU MOSSONGO</v>
          </cell>
          <cell r="N486" t="str">
            <v>CAMP LENI/MOISE</v>
          </cell>
        </row>
        <row r="487">
          <cell r="B487" t="str">
            <v>PL480</v>
          </cell>
          <cell r="D487" t="str">
            <v>0992099197</v>
          </cell>
          <cell r="F487" t="str">
            <v>PY</v>
          </cell>
          <cell r="G487" t="str">
            <v>MUCHAPA NZINGIRE</v>
          </cell>
          <cell r="N487" t="str">
            <v>39A AV DU CARMEL</v>
          </cell>
        </row>
        <row r="488">
          <cell r="B488" t="str">
            <v>PL481</v>
          </cell>
          <cell r="D488" t="str">
            <v>0974500668</v>
          </cell>
          <cell r="F488" t="str">
            <v>PY</v>
          </cell>
          <cell r="G488" t="str">
            <v>MBELU BINKU</v>
          </cell>
          <cell r="N488" t="str">
            <v>10 AV NOVATEUR</v>
          </cell>
        </row>
        <row r="489">
          <cell r="B489" t="str">
            <v>PL482</v>
          </cell>
          <cell r="D489" t="str">
            <v>0977990005</v>
          </cell>
          <cell r="F489" t="str">
            <v>PY</v>
          </cell>
          <cell r="G489" t="str">
            <v>KALANGA KATALAYI</v>
          </cell>
          <cell r="N489" t="str">
            <v>DES TERMITIERES</v>
          </cell>
        </row>
        <row r="490">
          <cell r="B490" t="str">
            <v>PL483</v>
          </cell>
          <cell r="D490" t="str">
            <v>0977990005</v>
          </cell>
          <cell r="F490" t="str">
            <v>PY</v>
          </cell>
          <cell r="G490" t="str">
            <v>KAJ TSHEND</v>
          </cell>
          <cell r="N490" t="str">
            <v>DES TERMITIERS</v>
          </cell>
        </row>
        <row r="491">
          <cell r="B491" t="str">
            <v>PL484</v>
          </cell>
          <cell r="D491" t="str">
            <v/>
          </cell>
          <cell r="F491" t="str">
            <v>PY</v>
          </cell>
          <cell r="G491" t="str">
            <v>MUZUL ATSHIM AMAYANG</v>
          </cell>
          <cell r="N491" t="str">
            <v/>
          </cell>
        </row>
        <row r="492">
          <cell r="B492" t="str">
            <v>PL485</v>
          </cell>
          <cell r="D492" t="str">
            <v/>
          </cell>
          <cell r="F492" t="str">
            <v>PY</v>
          </cell>
          <cell r="G492" t="str">
            <v>ADIDJA MITONE</v>
          </cell>
          <cell r="N492" t="str">
            <v>AV DU CONSERVATEUR</v>
          </cell>
        </row>
        <row r="493">
          <cell r="B493" t="str">
            <v>PL486</v>
          </cell>
          <cell r="D493">
            <v>978555251</v>
          </cell>
          <cell r="F493" t="str">
            <v>PY</v>
          </cell>
          <cell r="G493" t="str">
            <v>NGOY TSHIMANGA</v>
          </cell>
          <cell r="N493" t="str">
            <v>1385 DU SOLEIL</v>
          </cell>
        </row>
        <row r="494">
          <cell r="B494" t="str">
            <v>PL487</v>
          </cell>
          <cell r="D494" t="str">
            <v>0978555251</v>
          </cell>
          <cell r="F494" t="str">
            <v>PY</v>
          </cell>
          <cell r="G494" t="str">
            <v>KAYEMBE TSHIMANGA</v>
          </cell>
          <cell r="N494" t="str">
            <v>1385 DU SOLEIL</v>
          </cell>
        </row>
        <row r="495">
          <cell r="B495" t="str">
            <v>PL488</v>
          </cell>
          <cell r="D495" t="str">
            <v>0853362962</v>
          </cell>
          <cell r="F495" t="str">
            <v>PY</v>
          </cell>
          <cell r="G495" t="str">
            <v>MUZUNGU MUZUNGU</v>
          </cell>
          <cell r="N495" t="str">
            <v>2321 AV MIAMI</v>
          </cell>
        </row>
        <row r="496">
          <cell r="B496" t="str">
            <v>PL489</v>
          </cell>
          <cell r="D496" t="str">
            <v>0819431717</v>
          </cell>
          <cell r="F496" t="str">
            <v>PY</v>
          </cell>
          <cell r="G496" t="str">
            <v>MBUYA BWANGA</v>
          </cell>
          <cell r="N496" t="str">
            <v>AV CHEMEIN PUBLIC/CAMP MISSEPE</v>
          </cell>
        </row>
        <row r="497">
          <cell r="B497" t="str">
            <v>PL490</v>
          </cell>
          <cell r="D497">
            <v>830109955</v>
          </cell>
          <cell r="F497" t="str">
            <v>abd</v>
          </cell>
          <cell r="G497" t="str">
            <v>MUKADI MUKADI</v>
          </cell>
          <cell r="N497" t="str">
            <v>ROUTE KASSAPA</v>
          </cell>
        </row>
        <row r="498">
          <cell r="B498" t="str">
            <v>PL491</v>
          </cell>
          <cell r="D498" t="str">
            <v>0851504306</v>
          </cell>
          <cell r="F498" t="str">
            <v>PY</v>
          </cell>
          <cell r="G498" t="str">
            <v>TSHAMA BEYA</v>
          </cell>
          <cell r="N498" t="str">
            <v>49 KASANGULU PROL</v>
          </cell>
        </row>
        <row r="499">
          <cell r="B499" t="str">
            <v>PL492</v>
          </cell>
          <cell r="D499" t="str">
            <v>0851504306</v>
          </cell>
          <cell r="F499" t="str">
            <v>PY</v>
          </cell>
          <cell r="G499" t="str">
            <v>KABWIZA MBUYI</v>
          </cell>
          <cell r="N499" t="str">
            <v>49 AV KASANGULU PROL</v>
          </cell>
        </row>
        <row r="500">
          <cell r="B500" t="str">
            <v>PL493</v>
          </cell>
          <cell r="D500" t="str">
            <v>0851504306</v>
          </cell>
          <cell r="F500" t="str">
            <v>PY</v>
          </cell>
          <cell r="G500" t="str">
            <v>BENAKEMPE BEYA</v>
          </cell>
          <cell r="N500" t="str">
            <v>49 AV KASANGULU PROL</v>
          </cell>
        </row>
        <row r="501">
          <cell r="B501" t="str">
            <v>PL494</v>
          </cell>
          <cell r="D501" t="str">
            <v>0997024635</v>
          </cell>
          <cell r="F501" t="str">
            <v>PY</v>
          </cell>
          <cell r="G501" t="str">
            <v>MAHIMBI WA MAHIMBI</v>
          </cell>
          <cell r="N501" t="str">
            <v>37 AV DU 30 JUIN PROL</v>
          </cell>
        </row>
        <row r="502">
          <cell r="B502" t="str">
            <v>PL495</v>
          </cell>
          <cell r="D502" t="str">
            <v>0997024635</v>
          </cell>
          <cell r="F502" t="str">
            <v>PY</v>
          </cell>
          <cell r="G502" t="str">
            <v>KANKOLONGO MAHIMBI</v>
          </cell>
          <cell r="N502" t="str">
            <v>37 DU 30JUIN PROL</v>
          </cell>
        </row>
        <row r="503">
          <cell r="B503" t="str">
            <v>PL496</v>
          </cell>
          <cell r="D503">
            <v>828552771</v>
          </cell>
          <cell r="F503" t="str">
            <v>PY</v>
          </cell>
          <cell r="G503" t="str">
            <v>WIDA WANDA</v>
          </cell>
          <cell r="N503" t="str">
            <v>05 AV KASHOBWE/KALUB</v>
          </cell>
        </row>
        <row r="504">
          <cell r="B504" t="str">
            <v>PL497</v>
          </cell>
          <cell r="D504" t="str">
            <v xml:space="preserve">  0995912740</v>
          </cell>
          <cell r="F504" t="str">
            <v>PY</v>
          </cell>
          <cell r="G504" t="str">
            <v>KALOMBO MUJINGA</v>
          </cell>
          <cell r="N504" t="str">
            <v>05 AV KASHOBWE</v>
          </cell>
        </row>
        <row r="505">
          <cell r="B505" t="str">
            <v>PL498</v>
          </cell>
          <cell r="D505" t="str">
            <v>0812841760</v>
          </cell>
          <cell r="F505" t="str">
            <v>PY</v>
          </cell>
          <cell r="G505" t="str">
            <v>ILUNGA MWAMBA</v>
          </cell>
          <cell r="N505" t="str">
            <v>AV MARCEL/Q KASSAPA</v>
          </cell>
        </row>
        <row r="506">
          <cell r="B506" t="str">
            <v>PL499</v>
          </cell>
          <cell r="D506" t="str">
            <v>0990203268</v>
          </cell>
          <cell r="F506" t="str">
            <v>PY</v>
          </cell>
          <cell r="G506" t="str">
            <v>NGOYI MWILAMBWE</v>
          </cell>
          <cell r="N506" t="str">
            <v>AV DE L'EGLISE</v>
          </cell>
        </row>
        <row r="507">
          <cell r="B507" t="str">
            <v>PL500</v>
          </cell>
          <cell r="D507" t="str">
            <v>0992335958</v>
          </cell>
          <cell r="F507" t="str">
            <v>PY</v>
          </cell>
          <cell r="G507" t="str">
            <v>ILUNGA WA ILUNGA</v>
          </cell>
          <cell r="N507" t="str">
            <v>13 SINAI</v>
          </cell>
        </row>
        <row r="508">
          <cell r="B508" t="str">
            <v>PL501</v>
          </cell>
          <cell r="D508" t="str">
            <v/>
          </cell>
          <cell r="F508" t="str">
            <v>PY</v>
          </cell>
          <cell r="G508" t="str">
            <v>MASANGA DILENGA</v>
          </cell>
          <cell r="N508" t="str">
            <v/>
          </cell>
        </row>
        <row r="509">
          <cell r="B509" t="str">
            <v>PL502</v>
          </cell>
          <cell r="D509" t="str">
            <v/>
          </cell>
          <cell r="F509" t="str">
            <v>PY</v>
          </cell>
          <cell r="G509" t="str">
            <v>MUNYANJI LUKUSA</v>
          </cell>
          <cell r="N509" t="str">
            <v/>
          </cell>
        </row>
        <row r="510">
          <cell r="B510" t="str">
            <v>PL503</v>
          </cell>
          <cell r="F510" t="str">
            <v>PY</v>
          </cell>
          <cell r="G510" t="str">
            <v>KAYUMBA LUKUSA</v>
          </cell>
        </row>
        <row r="511">
          <cell r="B511" t="str">
            <v>PL504</v>
          </cell>
          <cell r="D511" t="str">
            <v/>
          </cell>
          <cell r="F511" t="str">
            <v>PY</v>
          </cell>
          <cell r="G511" t="str">
            <v>TSHIBALA LUKUSA</v>
          </cell>
          <cell r="N511" t="str">
            <v/>
          </cell>
        </row>
        <row r="512">
          <cell r="B512" t="str">
            <v>PL505</v>
          </cell>
          <cell r="D512" t="str">
            <v>0971790071</v>
          </cell>
          <cell r="F512" t="str">
            <v>PY</v>
          </cell>
          <cell r="G512" t="str">
            <v>KATOKA BIPENDU</v>
          </cell>
          <cell r="N512" t="str">
            <v>AV SHIMBA /CRAA</v>
          </cell>
        </row>
        <row r="513">
          <cell r="B513" t="str">
            <v>PL506</v>
          </cell>
          <cell r="D513" t="str">
            <v>099708678</v>
          </cell>
          <cell r="F513" t="str">
            <v>PY</v>
          </cell>
          <cell r="G513" t="str">
            <v xml:space="preserve">KAPINGA ILUNGA </v>
          </cell>
          <cell r="N513" t="str">
            <v>13AV KASANGULU</v>
          </cell>
        </row>
        <row r="514">
          <cell r="B514" t="str">
            <v>PL507</v>
          </cell>
          <cell r="D514" t="str">
            <v/>
          </cell>
          <cell r="F514" t="str">
            <v>PY</v>
          </cell>
          <cell r="G514" t="str">
            <v>KANYIMB TCHAL</v>
          </cell>
          <cell r="N514" t="str">
            <v/>
          </cell>
        </row>
        <row r="515">
          <cell r="B515" t="str">
            <v>PL508</v>
          </cell>
          <cell r="D515" t="str">
            <v/>
          </cell>
          <cell r="F515" t="str">
            <v>PY</v>
          </cell>
          <cell r="G515" t="str">
            <v>NGALULA KANYIMBU</v>
          </cell>
          <cell r="N515" t="str">
            <v/>
          </cell>
        </row>
        <row r="516">
          <cell r="B516" t="str">
            <v>PL509</v>
          </cell>
          <cell r="F516" t="str">
            <v>abd</v>
          </cell>
          <cell r="G516" t="str">
            <v>TSHIBANGU KONJI</v>
          </cell>
          <cell r="N516" t="str">
            <v>AV DU CAMPUS</v>
          </cell>
        </row>
        <row r="517">
          <cell r="B517" t="str">
            <v>PL510</v>
          </cell>
          <cell r="D517" t="str">
            <v>0990268855</v>
          </cell>
          <cell r="F517" t="str">
            <v>PY</v>
          </cell>
          <cell r="G517" t="str">
            <v>SAKINA ATIBU</v>
          </cell>
          <cell r="N517" t="str">
            <v>10009 AV KAHUMBA</v>
          </cell>
        </row>
        <row r="518">
          <cell r="B518" t="str">
            <v>PL511</v>
          </cell>
          <cell r="D518">
            <v>991311072</v>
          </cell>
          <cell r="F518" t="str">
            <v>abd</v>
          </cell>
          <cell r="G518" t="str">
            <v>KALITE KALOMBE</v>
          </cell>
          <cell r="N518" t="str">
            <v>AV MANIKA</v>
          </cell>
        </row>
        <row r="519">
          <cell r="B519" t="str">
            <v>PL512</v>
          </cell>
          <cell r="D519" t="str">
            <v>0817157828</v>
          </cell>
          <cell r="F519" t="str">
            <v>PY</v>
          </cell>
          <cell r="G519" t="str">
            <v>KASONGO MWANABUTE</v>
          </cell>
          <cell r="N519" t="str">
            <v>123 KASANGULU</v>
          </cell>
        </row>
        <row r="520">
          <cell r="B520" t="str">
            <v>PL513</v>
          </cell>
          <cell r="D520" t="str">
            <v>0810049993</v>
          </cell>
          <cell r="F520" t="str">
            <v>PY</v>
          </cell>
          <cell r="G520" t="str">
            <v>KAHENGA NTAMBWE</v>
          </cell>
          <cell r="N520" t="str">
            <v>15 AV MUTOKE/CAMP MISSEPE</v>
          </cell>
        </row>
        <row r="521">
          <cell r="B521" t="str">
            <v>PL514</v>
          </cell>
          <cell r="D521">
            <v>995282081</v>
          </cell>
          <cell r="F521" t="str">
            <v>PY</v>
          </cell>
          <cell r="G521" t="str">
            <v>BANZA DANIELLA</v>
          </cell>
          <cell r="N521" t="str">
            <v>03 KASANG/LULUWA</v>
          </cell>
        </row>
        <row r="522">
          <cell r="B522" t="str">
            <v>PL515</v>
          </cell>
          <cell r="D522" t="str">
            <v>0999587120</v>
          </cell>
          <cell r="F522" t="str">
            <v>PY</v>
          </cell>
          <cell r="G522" t="str">
            <v>MUKELE KIMA</v>
          </cell>
          <cell r="N522" t="str">
            <v>08 AV SOMBE SOMBE/GOLF</v>
          </cell>
        </row>
        <row r="523">
          <cell r="B523" t="str">
            <v>PL516</v>
          </cell>
          <cell r="F523" t="str">
            <v>PY</v>
          </cell>
          <cell r="G523" t="str">
            <v>KALENGA KAMONGA</v>
          </cell>
        </row>
        <row r="524">
          <cell r="B524" t="str">
            <v>PL517</v>
          </cell>
          <cell r="D524" t="str">
            <v>0815696002/0817319700</v>
          </cell>
          <cell r="F524" t="str">
            <v>abd</v>
          </cell>
          <cell r="G524" t="str">
            <v>KALUMBU MUSENGA</v>
          </cell>
          <cell r="N524" t="str">
            <v>222 AV DE LA LIBERATION</v>
          </cell>
        </row>
        <row r="525">
          <cell r="B525" t="str">
            <v>PL518</v>
          </cell>
          <cell r="D525" t="str">
            <v>0903180516</v>
          </cell>
          <cell r="F525" t="str">
            <v>PY</v>
          </cell>
          <cell r="G525" t="str">
            <v>MUJINGA KIZIBA</v>
          </cell>
          <cell r="N525" t="str">
            <v>AV MPOLO</v>
          </cell>
        </row>
        <row r="526">
          <cell r="B526" t="str">
            <v>PL519</v>
          </cell>
          <cell r="D526" t="str">
            <v>0903180516</v>
          </cell>
          <cell r="F526" t="str">
            <v>PY</v>
          </cell>
          <cell r="G526" t="str">
            <v>KASONGO KIZIBA</v>
          </cell>
          <cell r="N526" t="str">
            <v>AV MPOLO</v>
          </cell>
        </row>
        <row r="527">
          <cell r="B527" t="str">
            <v>PL520</v>
          </cell>
          <cell r="D527" t="str">
            <v>0979024246</v>
          </cell>
          <cell r="F527" t="str">
            <v>PY</v>
          </cell>
          <cell r="G527" t="str">
            <v>TSHIBANGU WA TSHIBANGU</v>
          </cell>
          <cell r="N527" t="str">
            <v>16 AV KAMINUNGU</v>
          </cell>
        </row>
        <row r="528">
          <cell r="B528" t="str">
            <v>PL521</v>
          </cell>
          <cell r="D528">
            <v>978020201</v>
          </cell>
          <cell r="F528" t="str">
            <v>abd</v>
          </cell>
          <cell r="G528" t="str">
            <v>WANDU NZONZIMBU</v>
          </cell>
          <cell r="N528" t="str">
            <v>AV LE CEDRE/CAMP MISSEPE</v>
          </cell>
        </row>
        <row r="529">
          <cell r="B529" t="str">
            <v>PL522</v>
          </cell>
          <cell r="D529">
            <v>996583994</v>
          </cell>
          <cell r="F529" t="str">
            <v>PY</v>
          </cell>
          <cell r="G529" t="str">
            <v>MUKIND  KABEY</v>
          </cell>
          <cell r="N529" t="str">
            <v>KABWE SESE/TEXACO</v>
          </cell>
        </row>
        <row r="530">
          <cell r="B530" t="str">
            <v>PL523</v>
          </cell>
          <cell r="D530" t="str">
            <v>0973434777</v>
          </cell>
          <cell r="F530" t="str">
            <v>PY</v>
          </cell>
          <cell r="G530" t="str">
            <v>KAPINGA ODIMU</v>
          </cell>
          <cell r="N530" t="str">
            <v>2945 KALOMBO</v>
          </cell>
        </row>
        <row r="531">
          <cell r="B531" t="str">
            <v>PL524</v>
          </cell>
          <cell r="D531" t="str">
            <v>0979380041</v>
          </cell>
          <cell r="F531" t="str">
            <v>PY</v>
          </cell>
          <cell r="G531" t="str">
            <v>KALENGA MANDE</v>
          </cell>
          <cell r="N531" t="str">
            <v>07 ROUTE KASSAPA</v>
          </cell>
        </row>
        <row r="532">
          <cell r="B532" t="str">
            <v>PL525</v>
          </cell>
          <cell r="D532" t="str">
            <v>0990464637</v>
          </cell>
          <cell r="F532" t="str">
            <v>PY</v>
          </cell>
          <cell r="G532" t="str">
            <v>MBOMBO MUFUTA</v>
          </cell>
          <cell r="N532" t="str">
            <v>AV KALOMBO</v>
          </cell>
        </row>
        <row r="533">
          <cell r="B533" t="str">
            <v>PL526</v>
          </cell>
          <cell r="D533" t="str">
            <v>0853128732/0899687386</v>
          </cell>
          <cell r="F533" t="str">
            <v>PY</v>
          </cell>
          <cell r="G533" t="str">
            <v>NSAMPU LUBO</v>
          </cell>
          <cell r="N533" t="str">
            <v>46 AV DU CAMP</v>
          </cell>
        </row>
        <row r="534">
          <cell r="B534" t="str">
            <v>PL527</v>
          </cell>
          <cell r="D534" t="str">
            <v/>
          </cell>
          <cell r="F534" t="str">
            <v>PY</v>
          </cell>
          <cell r="G534" t="str">
            <v>MBUYI MUSASA</v>
          </cell>
          <cell r="N534" t="str">
            <v>AV LUENA/KASSAPA</v>
          </cell>
        </row>
        <row r="535">
          <cell r="B535" t="str">
            <v>PL528</v>
          </cell>
          <cell r="D535">
            <v>971850474</v>
          </cell>
          <cell r="F535" t="str">
            <v>PY</v>
          </cell>
          <cell r="G535" t="str">
            <v>KABANGE KIANDA</v>
          </cell>
          <cell r="N535" t="str">
            <v>19 AV GUSTAVE/GAMB 3</v>
          </cell>
        </row>
        <row r="536">
          <cell r="B536" t="str">
            <v>PL529</v>
          </cell>
          <cell r="D536" t="str">
            <v>0990052828</v>
          </cell>
          <cell r="F536" t="str">
            <v>PY</v>
          </cell>
          <cell r="G536" t="str">
            <v>NDIBU NGAMUKUBA</v>
          </cell>
          <cell r="N536" t="str">
            <v/>
          </cell>
        </row>
        <row r="537">
          <cell r="B537" t="str">
            <v>PL530</v>
          </cell>
          <cell r="D537" t="str">
            <v>0823034615</v>
          </cell>
          <cell r="F537" t="str">
            <v>PY</v>
          </cell>
          <cell r="G537" t="str">
            <v>LOKOMBE BOKESSE</v>
          </cell>
          <cell r="N537" t="str">
            <v>DES VOLONTAIRES</v>
          </cell>
        </row>
        <row r="538">
          <cell r="B538" t="str">
            <v>PL531</v>
          </cell>
          <cell r="D538" t="str">
            <v>0814701253</v>
          </cell>
          <cell r="F538" t="str">
            <v>PY</v>
          </cell>
          <cell r="G538" t="str">
            <v>KASONGO KISILA</v>
          </cell>
          <cell r="N538" t="str">
            <v>26 LA COLOMBE</v>
          </cell>
        </row>
        <row r="539">
          <cell r="B539" t="str">
            <v>PL532</v>
          </cell>
          <cell r="D539" t="str">
            <v>0813548890</v>
          </cell>
          <cell r="F539" t="str">
            <v>PY</v>
          </cell>
          <cell r="G539" t="str">
            <v>ILUNGA MAKONGA</v>
          </cell>
          <cell r="N539" t="str">
            <v>33 AV MPANDA GREGOIRE</v>
          </cell>
        </row>
        <row r="540">
          <cell r="B540" t="str">
            <v>PL533</v>
          </cell>
          <cell r="D540" t="str">
            <v>0810433130</v>
          </cell>
          <cell r="F540" t="str">
            <v>PY</v>
          </cell>
          <cell r="G540" t="str">
            <v>TSHIMANGA LWABA</v>
          </cell>
          <cell r="N540" t="str">
            <v>Q. KASSAPA PRISON</v>
          </cell>
        </row>
        <row r="541">
          <cell r="B541" t="str">
            <v>PL534</v>
          </cell>
          <cell r="D541" t="str">
            <v>0810433130</v>
          </cell>
          <cell r="F541" t="str">
            <v>PY</v>
          </cell>
          <cell r="G541" t="str">
            <v>MULANGA LWABA</v>
          </cell>
          <cell r="N541" t="str">
            <v>KASSAPA PRISON</v>
          </cell>
        </row>
        <row r="542">
          <cell r="B542" t="str">
            <v>PL535</v>
          </cell>
          <cell r="D542" t="str">
            <v/>
          </cell>
          <cell r="F542" t="str">
            <v>PY</v>
          </cell>
          <cell r="G542" t="str">
            <v>KAYIBA MBUYI</v>
          </cell>
          <cell r="N542" t="str">
            <v/>
          </cell>
        </row>
        <row r="543">
          <cell r="B543" t="str">
            <v>PL536</v>
          </cell>
          <cell r="D543" t="str">
            <v>0990953501</v>
          </cell>
          <cell r="F543" t="str">
            <v>PY</v>
          </cell>
          <cell r="G543" t="str">
            <v>MWEPU KYALE</v>
          </cell>
          <cell r="N543" t="str">
            <v>5 AV KALOMBO</v>
          </cell>
        </row>
        <row r="544">
          <cell r="B544" t="str">
            <v>PL537</v>
          </cell>
          <cell r="D544" t="str">
            <v>0990953501</v>
          </cell>
          <cell r="F544" t="str">
            <v>PY</v>
          </cell>
          <cell r="G544" t="str">
            <v xml:space="preserve">MWINE MATANDA </v>
          </cell>
          <cell r="N544" t="str">
            <v>05 AV KALOMBO</v>
          </cell>
        </row>
        <row r="545">
          <cell r="B545" t="str">
            <v>PL538</v>
          </cell>
          <cell r="D545">
            <v>981739398</v>
          </cell>
          <cell r="F545" t="str">
            <v>PY</v>
          </cell>
          <cell r="G545" t="str">
            <v>BINGA MEZA</v>
          </cell>
          <cell r="N545" t="str">
            <v>AV SINAI</v>
          </cell>
        </row>
        <row r="546">
          <cell r="B546" t="str">
            <v>PL539</v>
          </cell>
          <cell r="D546" t="str">
            <v>0990953501</v>
          </cell>
          <cell r="F546" t="str">
            <v>PY</v>
          </cell>
          <cell r="G546" t="str">
            <v>MWINE NSUNGU</v>
          </cell>
          <cell r="N546" t="str">
            <v>50 AV KALOMBO</v>
          </cell>
        </row>
        <row r="547">
          <cell r="B547" t="str">
            <v>PL540</v>
          </cell>
          <cell r="D547">
            <v>990953501</v>
          </cell>
          <cell r="F547" t="str">
            <v>PY</v>
          </cell>
          <cell r="G547" t="str">
            <v>KAZADI WA LUDIMBA</v>
          </cell>
          <cell r="N547" t="str">
            <v>05 AV KALOMBO</v>
          </cell>
        </row>
        <row r="548">
          <cell r="B548" t="str">
            <v>PL541</v>
          </cell>
          <cell r="D548" t="str">
            <v>0831515793/0975956926</v>
          </cell>
          <cell r="F548" t="str">
            <v>PY</v>
          </cell>
          <cell r="G548" t="str">
            <v>NEHEMA KAZADI</v>
          </cell>
          <cell r="N548" t="str">
            <v>12 AV KASOKA/GAMB 3</v>
          </cell>
        </row>
        <row r="549">
          <cell r="B549" t="str">
            <v>PL542</v>
          </cell>
          <cell r="D549">
            <v>997021523</v>
          </cell>
          <cell r="F549" t="str">
            <v>PY</v>
          </cell>
          <cell r="G549" t="str">
            <v>MBELU MBAYO</v>
          </cell>
          <cell r="N549" t="str">
            <v>144 AV KASANGULU</v>
          </cell>
        </row>
        <row r="550">
          <cell r="B550" t="str">
            <v>PL543</v>
          </cell>
          <cell r="D550" t="str">
            <v/>
          </cell>
          <cell r="F550" t="str">
            <v>PY</v>
          </cell>
          <cell r="G550" t="str">
            <v>NSAMBA NGANDU</v>
          </cell>
          <cell r="N550" t="str">
            <v>LAC KIPOPO I</v>
          </cell>
        </row>
        <row r="551">
          <cell r="B551" t="str">
            <v>PL544</v>
          </cell>
          <cell r="D551">
            <v>808858879</v>
          </cell>
          <cell r="F551" t="str">
            <v>PY</v>
          </cell>
          <cell r="G551" t="str">
            <v>YUMBA KABULO</v>
          </cell>
        </row>
        <row r="552">
          <cell r="B552" t="str">
            <v>PL545</v>
          </cell>
          <cell r="D552" t="str">
            <v>0811684297</v>
          </cell>
          <cell r="F552" t="str">
            <v>PY</v>
          </cell>
          <cell r="G552" t="str">
            <v>MAYAHUDI KIBAMBE</v>
          </cell>
          <cell r="N552" t="str">
            <v>2905 AV DU CAMPUS</v>
          </cell>
        </row>
        <row r="553">
          <cell r="B553" t="str">
            <v>PL546</v>
          </cell>
          <cell r="D553" t="str">
            <v>0991731859</v>
          </cell>
          <cell r="F553" t="str">
            <v>PY</v>
          </cell>
          <cell r="G553" t="str">
            <v>KAHINDO PALUKU</v>
          </cell>
          <cell r="N553" t="str">
            <v>CAMP MIL KASSAPA</v>
          </cell>
        </row>
        <row r="554">
          <cell r="B554" t="str">
            <v>PL547</v>
          </cell>
          <cell r="D554" t="str">
            <v>0979035909</v>
          </cell>
          <cell r="F554" t="str">
            <v>PY</v>
          </cell>
          <cell r="G554" t="str">
            <v>NGALULA LUKUSA</v>
          </cell>
          <cell r="N554" t="str">
            <v>KASANGULU/CARMEL</v>
          </cell>
        </row>
        <row r="555">
          <cell r="B555" t="str">
            <v>PL548</v>
          </cell>
          <cell r="D555" t="str">
            <v>0971028140/0974627762</v>
          </cell>
          <cell r="F555" t="str">
            <v>PY</v>
          </cell>
          <cell r="G555" t="str">
            <v>KYENGE MPAPA</v>
          </cell>
          <cell r="N555" t="str">
            <v>25 AV KANSELE</v>
          </cell>
        </row>
        <row r="556">
          <cell r="B556" t="str">
            <v>PL549</v>
          </cell>
          <cell r="D556" t="str">
            <v>0971028140</v>
          </cell>
          <cell r="F556" t="str">
            <v>PY</v>
          </cell>
          <cell r="G556" t="str">
            <v>MALANGO KALONDA</v>
          </cell>
          <cell r="N556" t="str">
            <v>25 AV KANSELE</v>
          </cell>
        </row>
        <row r="557">
          <cell r="B557" t="str">
            <v>PL550</v>
          </cell>
          <cell r="D557" t="str">
            <v>0974627762</v>
          </cell>
          <cell r="F557" t="str">
            <v>PY</v>
          </cell>
          <cell r="G557" t="str">
            <v>ILUNGA BUKASA</v>
          </cell>
          <cell r="N557" t="str">
            <v>25 AV KANSELE</v>
          </cell>
        </row>
        <row r="558">
          <cell r="B558" t="str">
            <v>PL551</v>
          </cell>
          <cell r="D558" t="str">
            <v>0850564197</v>
          </cell>
          <cell r="F558" t="str">
            <v>PY</v>
          </cell>
          <cell r="G558" t="str">
            <v>CIOWA MUKEBA</v>
          </cell>
          <cell r="N558" t="str">
            <v>AV DE LA MOSQUE</v>
          </cell>
        </row>
        <row r="559">
          <cell r="B559" t="str">
            <v>PL552</v>
          </cell>
          <cell r="D559" t="str">
            <v>0970870095/0997111644</v>
          </cell>
          <cell r="F559" t="str">
            <v>abd</v>
          </cell>
          <cell r="G559" t="str">
            <v>PANGULA MBUYI</v>
          </cell>
          <cell r="N559" t="str">
            <v>73 AV SONGA/KALUBWE</v>
          </cell>
        </row>
        <row r="560">
          <cell r="B560" t="str">
            <v>PL553</v>
          </cell>
          <cell r="D560" t="str">
            <v>0979081780</v>
          </cell>
          <cell r="F560" t="str">
            <v>PY</v>
          </cell>
          <cell r="G560" t="str">
            <v>KABWIKA MITEO</v>
          </cell>
          <cell r="N560" t="str">
            <v>CAMP MISSEPE</v>
          </cell>
        </row>
        <row r="561">
          <cell r="B561" t="str">
            <v>PL554</v>
          </cell>
          <cell r="D561" t="str">
            <v>0990251755</v>
          </cell>
          <cell r="F561" t="str">
            <v>PY</v>
          </cell>
          <cell r="G561" t="str">
            <v>KATOKA KATOKA</v>
          </cell>
          <cell r="N561" t="str">
            <v>08 AV FENE</v>
          </cell>
        </row>
        <row r="562">
          <cell r="B562" t="str">
            <v>PL555</v>
          </cell>
          <cell r="D562">
            <v>990251755</v>
          </cell>
          <cell r="F562" t="str">
            <v>PY</v>
          </cell>
          <cell r="G562" t="str">
            <v>BULELA NGOMBA</v>
          </cell>
          <cell r="N562" t="str">
            <v xml:space="preserve">08 AV FENE </v>
          </cell>
        </row>
        <row r="563">
          <cell r="B563" t="str">
            <v>PL556</v>
          </cell>
          <cell r="D563" t="str">
            <v>0993693635</v>
          </cell>
          <cell r="F563" t="str">
            <v>PY</v>
          </cell>
          <cell r="G563" t="str">
            <v>BIEME  MPAY</v>
          </cell>
          <cell r="N563" t="str">
            <v>AV MPANDA</v>
          </cell>
        </row>
        <row r="564">
          <cell r="B564" t="str">
            <v>PL557</v>
          </cell>
          <cell r="D564" t="str">
            <v>0975055041</v>
          </cell>
          <cell r="F564" t="str">
            <v>PY</v>
          </cell>
          <cell r="G564" t="str">
            <v>KATSHAYI KABONGO</v>
          </cell>
          <cell r="N564" t="str">
            <v>18 AV LUANO</v>
          </cell>
        </row>
        <row r="565">
          <cell r="B565" t="str">
            <v>PL558</v>
          </cell>
          <cell r="D565" t="str">
            <v>0978012692</v>
          </cell>
          <cell r="F565" t="str">
            <v>PY</v>
          </cell>
          <cell r="G565" t="str">
            <v>MASENGU MWELWA</v>
          </cell>
          <cell r="N565" t="str">
            <v>10 AV GUSTAVE</v>
          </cell>
        </row>
        <row r="566">
          <cell r="B566" t="str">
            <v>PL559</v>
          </cell>
          <cell r="D566" t="str">
            <v>0978012692</v>
          </cell>
          <cell r="F566" t="str">
            <v>PY</v>
          </cell>
          <cell r="G566" t="str">
            <v>CHIKONDE MWELWA</v>
          </cell>
          <cell r="N566" t="str">
            <v>10 AV GUSTAVE</v>
          </cell>
        </row>
        <row r="567">
          <cell r="B567" t="str">
            <v>PL560</v>
          </cell>
          <cell r="D567" t="str">
            <v>0974308989</v>
          </cell>
          <cell r="F567" t="str">
            <v>PY</v>
          </cell>
          <cell r="G567" t="str">
            <v>KABENA TSHIBANDA</v>
          </cell>
          <cell r="N567" t="str">
            <v>3491 AV DU CAMP</v>
          </cell>
        </row>
        <row r="568">
          <cell r="B568" t="str">
            <v>PL561</v>
          </cell>
          <cell r="D568">
            <v>974308989</v>
          </cell>
          <cell r="F568" t="str">
            <v>PY</v>
          </cell>
          <cell r="G568" t="str">
            <v>KAMWANYA TSHIBANDA</v>
          </cell>
          <cell r="N568" t="str">
            <v>3491 AV DU CAMP</v>
          </cell>
        </row>
        <row r="569">
          <cell r="B569" t="str">
            <v>PL562</v>
          </cell>
          <cell r="D569" t="str">
            <v>0974308989</v>
          </cell>
          <cell r="F569" t="str">
            <v>PY</v>
          </cell>
          <cell r="G569" t="str">
            <v>KADIATA TSHIBANDA</v>
          </cell>
          <cell r="N569" t="str">
            <v>AV DU CAMP</v>
          </cell>
        </row>
        <row r="570">
          <cell r="B570" t="str">
            <v>PL563</v>
          </cell>
          <cell r="D570" t="str">
            <v>0976661944</v>
          </cell>
          <cell r="F570" t="str">
            <v>PY</v>
          </cell>
          <cell r="G570" t="str">
            <v>NSUNGU MULONGO</v>
          </cell>
          <cell r="N570" t="str">
            <v>22 DU POTAGER</v>
          </cell>
        </row>
        <row r="571">
          <cell r="B571" t="str">
            <v>PL564</v>
          </cell>
          <cell r="D571" t="str">
            <v>0812677470</v>
          </cell>
          <cell r="F571" t="str">
            <v>PY</v>
          </cell>
          <cell r="G571" t="str">
            <v>NTUMBA BIAYI</v>
          </cell>
          <cell r="N571" t="str">
            <v>28 AV KASEBA/GAMB 2</v>
          </cell>
        </row>
        <row r="572">
          <cell r="B572" t="str">
            <v>PL565</v>
          </cell>
          <cell r="D572">
            <v>979327391</v>
          </cell>
          <cell r="F572" t="str">
            <v>PY</v>
          </cell>
          <cell r="G572" t="str">
            <v>MBULA IFOMA</v>
          </cell>
          <cell r="N572" t="str">
            <v>Q/ MOISE</v>
          </cell>
        </row>
        <row r="573">
          <cell r="B573" t="str">
            <v>PL566</v>
          </cell>
          <cell r="D573" t="str">
            <v>0976853380</v>
          </cell>
          <cell r="F573" t="str">
            <v>PY</v>
          </cell>
          <cell r="G573" t="str">
            <v>NZEBA MUKEBO</v>
          </cell>
          <cell r="N573" t="str">
            <v>12 AV. DU DEPUTE</v>
          </cell>
        </row>
        <row r="574">
          <cell r="B574" t="str">
            <v>PL567</v>
          </cell>
          <cell r="D574" t="str">
            <v>0997046037</v>
          </cell>
          <cell r="F574" t="str">
            <v>PY</v>
          </cell>
          <cell r="G574" t="str">
            <v>MWENZE DISAPA</v>
          </cell>
          <cell r="N574" t="str">
            <v>Q. GOLF METEO 1</v>
          </cell>
        </row>
        <row r="575">
          <cell r="B575" t="str">
            <v>PL568</v>
          </cell>
          <cell r="D575" t="str">
            <v>0810370175/0992167027</v>
          </cell>
          <cell r="F575" t="str">
            <v>PY</v>
          </cell>
          <cell r="G575" t="str">
            <v>MUTANDA WA MUTANDA</v>
          </cell>
          <cell r="N575" t="str">
            <v>29 AV LEMERA/KALUBWE</v>
          </cell>
        </row>
        <row r="576">
          <cell r="B576" t="str">
            <v>PL569</v>
          </cell>
          <cell r="D576" t="str">
            <v>0972129888/0827449435</v>
          </cell>
          <cell r="F576" t="str">
            <v>abd</v>
          </cell>
          <cell r="G576" t="str">
            <v>TSHELA BILOLO</v>
          </cell>
          <cell r="N576" t="str">
            <v>52 AV DE SPORT/GCM</v>
          </cell>
        </row>
        <row r="577">
          <cell r="B577" t="str">
            <v>PL570</v>
          </cell>
          <cell r="D577" t="str">
            <v>0811684297</v>
          </cell>
          <cell r="F577" t="str">
            <v>PY</v>
          </cell>
          <cell r="G577" t="str">
            <v>MAYAHUDI MUTUNGWA</v>
          </cell>
          <cell r="N577" t="str">
            <v>2905 AV DU CAMP</v>
          </cell>
        </row>
        <row r="578">
          <cell r="B578" t="str">
            <v>PL571</v>
          </cell>
          <cell r="D578" t="str">
            <v/>
          </cell>
          <cell r="F578" t="str">
            <v>PY</v>
          </cell>
          <cell r="G578" t="str">
            <v>MUKENDI DILENGA</v>
          </cell>
          <cell r="N578" t="str">
            <v/>
          </cell>
        </row>
        <row r="579">
          <cell r="B579" t="str">
            <v>PL572</v>
          </cell>
          <cell r="D579" t="str">
            <v>0893678116</v>
          </cell>
          <cell r="F579" t="str">
            <v>PY</v>
          </cell>
          <cell r="G579" t="str">
            <v>KASONGO YUMBA</v>
          </cell>
          <cell r="N579" t="str">
            <v>ROUTE KASSAPA</v>
          </cell>
        </row>
        <row r="580">
          <cell r="B580" t="str">
            <v>PL573</v>
          </cell>
          <cell r="D580" t="str">
            <v>0812370002</v>
          </cell>
          <cell r="F580" t="str">
            <v>PY</v>
          </cell>
          <cell r="G580" t="str">
            <v>NGOY KITWA</v>
          </cell>
          <cell r="N580" t="str">
            <v>15 AV DOUBLE POTEAUX</v>
          </cell>
        </row>
        <row r="581">
          <cell r="B581" t="str">
            <v>PL574</v>
          </cell>
          <cell r="D581" t="str">
            <v>09903333785</v>
          </cell>
          <cell r="F581" t="str">
            <v>PY</v>
          </cell>
          <cell r="G581" t="str">
            <v>ILUNGA  KANKOLONGO</v>
          </cell>
          <cell r="N581" t="str">
            <v>DES TERMITIERES</v>
          </cell>
        </row>
        <row r="582">
          <cell r="B582" t="str">
            <v>PL575</v>
          </cell>
          <cell r="D582" t="str">
            <v>0998454522</v>
          </cell>
          <cell r="F582" t="str">
            <v>PY</v>
          </cell>
          <cell r="G582" t="str">
            <v>KAMWANYA KAZADI</v>
          </cell>
          <cell r="N582" t="str">
            <v>15 AV KITUMBU TRESORE</v>
          </cell>
        </row>
        <row r="583">
          <cell r="B583" t="str">
            <v>PL576</v>
          </cell>
          <cell r="D583">
            <v>812319428</v>
          </cell>
          <cell r="F583" t="str">
            <v>PY</v>
          </cell>
          <cell r="G583" t="str">
            <v>SHARADI SALOMO</v>
          </cell>
        </row>
        <row r="584">
          <cell r="B584" t="str">
            <v>PL577</v>
          </cell>
          <cell r="D584" t="str">
            <v>0997016421</v>
          </cell>
          <cell r="F584" t="str">
            <v>PY</v>
          </cell>
          <cell r="G584" t="str">
            <v>LUMPUNGU NGOIE</v>
          </cell>
          <cell r="N584" t="str">
            <v>3211 AV SINAI</v>
          </cell>
        </row>
        <row r="585">
          <cell r="B585" t="str">
            <v>PL578</v>
          </cell>
          <cell r="D585" t="str">
            <v/>
          </cell>
          <cell r="F585" t="str">
            <v>PY</v>
          </cell>
          <cell r="G585" t="str">
            <v>SONGWE KABWE</v>
          </cell>
          <cell r="N585" t="str">
            <v/>
          </cell>
        </row>
        <row r="586">
          <cell r="B586" t="str">
            <v>PL579</v>
          </cell>
          <cell r="D586" t="str">
            <v>0976077090</v>
          </cell>
          <cell r="F586" t="str">
            <v>PY</v>
          </cell>
          <cell r="G586" t="str">
            <v>BEBELA WA BEBELA</v>
          </cell>
          <cell r="N586" t="str">
            <v/>
          </cell>
        </row>
        <row r="587">
          <cell r="B587" t="str">
            <v>PL580</v>
          </cell>
          <cell r="D587" t="str">
            <v/>
          </cell>
          <cell r="F587" t="str">
            <v>PY</v>
          </cell>
          <cell r="G587" t="str">
            <v>NGALULA MALU</v>
          </cell>
          <cell r="N587" t="str">
            <v/>
          </cell>
        </row>
        <row r="588">
          <cell r="B588" t="str">
            <v>PL581</v>
          </cell>
          <cell r="D588" t="str">
            <v>0995331</v>
          </cell>
          <cell r="F588" t="str">
            <v>PY</v>
          </cell>
          <cell r="G588" t="str">
            <v>MASENGU KALONJI</v>
          </cell>
          <cell r="N588" t="str">
            <v/>
          </cell>
        </row>
        <row r="589">
          <cell r="B589" t="str">
            <v>PL582</v>
          </cell>
          <cell r="D589" t="str">
            <v>0844131931</v>
          </cell>
          <cell r="F589" t="str">
            <v>PY</v>
          </cell>
          <cell r="G589" t="str">
            <v>MBUYAMBA KIMBA</v>
          </cell>
          <cell r="N589" t="str">
            <v>68 AV DES DEPOTS</v>
          </cell>
        </row>
        <row r="590">
          <cell r="B590" t="str">
            <v>PL583</v>
          </cell>
          <cell r="D590" t="str">
            <v/>
          </cell>
          <cell r="F590" t="str">
            <v>PY</v>
          </cell>
          <cell r="G590" t="str">
            <v>MUKENDI MUKANDA</v>
          </cell>
          <cell r="N590" t="str">
            <v/>
          </cell>
        </row>
        <row r="591">
          <cell r="B591" t="str">
            <v>PL584</v>
          </cell>
          <cell r="D591" t="str">
            <v>0854690442</v>
          </cell>
          <cell r="F591" t="str">
            <v>PY</v>
          </cell>
          <cell r="G591" t="str">
            <v>TSHILANDA KABEYA</v>
          </cell>
          <cell r="N591" t="str">
            <v>3390 KAPELE</v>
          </cell>
        </row>
        <row r="592">
          <cell r="B592" t="str">
            <v>PL585</v>
          </cell>
          <cell r="D592" t="str">
            <v>0854690442</v>
          </cell>
          <cell r="F592" t="str">
            <v>PY</v>
          </cell>
          <cell r="G592" t="str">
            <v>MUKADI KAZADI</v>
          </cell>
          <cell r="N592" t="str">
            <v>3390 KAPELE</v>
          </cell>
        </row>
        <row r="593">
          <cell r="B593" t="str">
            <v>PL586</v>
          </cell>
          <cell r="D593" t="str">
            <v>0970466211</v>
          </cell>
          <cell r="F593" t="str">
            <v>PY</v>
          </cell>
          <cell r="G593" t="str">
            <v>MAYAZOLA NDOSIMAO</v>
          </cell>
          <cell r="N593" t="str">
            <v>Q. MOISE</v>
          </cell>
        </row>
        <row r="594">
          <cell r="B594" t="str">
            <v>PL587</v>
          </cell>
          <cell r="D594" t="str">
            <v>0814045842</v>
          </cell>
          <cell r="F594" t="str">
            <v>PY</v>
          </cell>
          <cell r="G594" t="str">
            <v>DOUCE SHABANI</v>
          </cell>
          <cell r="N594" t="str">
            <v>AV KASANGULU</v>
          </cell>
        </row>
        <row r="595">
          <cell r="B595" t="str">
            <v>PL588</v>
          </cell>
          <cell r="D595">
            <v>814032087</v>
          </cell>
          <cell r="F595" t="str">
            <v>PY</v>
          </cell>
          <cell r="G595" t="str">
            <v>ETISALA IGELE</v>
          </cell>
          <cell r="N595" t="str">
            <v>Av DE LA GLOIRE</v>
          </cell>
        </row>
        <row r="596">
          <cell r="B596" t="str">
            <v>PL589</v>
          </cell>
          <cell r="D596" t="str">
            <v/>
          </cell>
          <cell r="F596" t="str">
            <v>PY</v>
          </cell>
          <cell r="G596" t="str">
            <v>NYEJE NABAHAMA</v>
          </cell>
          <cell r="N596" t="str">
            <v>3542 AV KALOMBO</v>
          </cell>
        </row>
        <row r="597">
          <cell r="B597" t="str">
            <v>PL590</v>
          </cell>
          <cell r="D597" t="str">
            <v>085762219</v>
          </cell>
          <cell r="F597" t="str">
            <v>PY</v>
          </cell>
          <cell r="G597" t="str">
            <v>TSHIBANGU KANDA</v>
          </cell>
          <cell r="N597" t="str">
            <v>28 AV. DIADJIDJA/KASSAPA</v>
          </cell>
        </row>
        <row r="598">
          <cell r="B598" t="str">
            <v>PL591</v>
          </cell>
          <cell r="D598" t="str">
            <v>0852762219</v>
          </cell>
          <cell r="F598" t="str">
            <v>PY</v>
          </cell>
          <cell r="G598" t="str">
            <v>KABANGA KANDA</v>
          </cell>
          <cell r="N598" t="str">
            <v>28 AV. DIADJIDJA</v>
          </cell>
        </row>
        <row r="599">
          <cell r="B599" t="str">
            <v>PL592</v>
          </cell>
          <cell r="D599" t="str">
            <v>0970522307</v>
          </cell>
          <cell r="F599" t="str">
            <v>PY</v>
          </cell>
          <cell r="G599" t="str">
            <v>KABAMBA MULAJA</v>
          </cell>
          <cell r="N599" t="str">
            <v>AV DE LA MOSQUE</v>
          </cell>
        </row>
        <row r="600">
          <cell r="B600" t="str">
            <v>PL593</v>
          </cell>
          <cell r="D600" t="str">
            <v>0992554366</v>
          </cell>
          <cell r="F600" t="str">
            <v>PY</v>
          </cell>
          <cell r="G600" t="str">
            <v>MBUYA AGNES</v>
          </cell>
          <cell r="N600" t="str">
            <v>2905AV. DU CAMPUS</v>
          </cell>
        </row>
        <row r="601">
          <cell r="B601" t="str">
            <v>PL594</v>
          </cell>
          <cell r="D601" t="str">
            <v>0992554366</v>
          </cell>
          <cell r="F601" t="str">
            <v>PY</v>
          </cell>
          <cell r="G601" t="str">
            <v>NGOYI  KIABU</v>
          </cell>
          <cell r="N601" t="str">
            <v>2905 AV. DU CAMPUS</v>
          </cell>
        </row>
        <row r="602">
          <cell r="B602" t="str">
            <v>PL595</v>
          </cell>
          <cell r="D602" t="str">
            <v>0808334290/0993361806</v>
          </cell>
          <cell r="F602" t="str">
            <v>abd</v>
          </cell>
          <cell r="G602" t="str">
            <v>PEMBELE  MUKAKU</v>
          </cell>
          <cell r="N602" t="str">
            <v>AV KASANGULU</v>
          </cell>
        </row>
        <row r="603">
          <cell r="B603" t="str">
            <v>PL596</v>
          </cell>
          <cell r="D603" t="str">
            <v>0810573328</v>
          </cell>
          <cell r="F603" t="str">
            <v>PY</v>
          </cell>
          <cell r="G603" t="str">
            <v>MULONGOYI  AMANI</v>
          </cell>
          <cell r="N603" t="str">
            <v>AV KASANGULU PROL</v>
          </cell>
        </row>
        <row r="604">
          <cell r="B604" t="str">
            <v>PL597</v>
          </cell>
          <cell r="F604" t="str">
            <v>abd</v>
          </cell>
          <cell r="G604" t="str">
            <v>MAFIKA ISALA</v>
          </cell>
        </row>
        <row r="605">
          <cell r="B605" t="str">
            <v>PL598</v>
          </cell>
          <cell r="D605">
            <v>896067219</v>
          </cell>
          <cell r="F605" t="str">
            <v>abd</v>
          </cell>
          <cell r="G605" t="str">
            <v>AOLO KASONGO</v>
          </cell>
          <cell r="N605" t="str">
            <v>743NYEMBO/CADASTRE</v>
          </cell>
        </row>
        <row r="606">
          <cell r="B606" t="str">
            <v>PL599</v>
          </cell>
          <cell r="D606" t="str">
            <v/>
          </cell>
          <cell r="F606" t="str">
            <v>PY</v>
          </cell>
          <cell r="G606" t="str">
            <v>MWANSA CHIBA</v>
          </cell>
          <cell r="N606" t="str">
            <v/>
          </cell>
        </row>
        <row r="607">
          <cell r="B607" t="str">
            <v>PL600</v>
          </cell>
          <cell r="D607">
            <v>896067219</v>
          </cell>
          <cell r="F607" t="str">
            <v>abd</v>
          </cell>
          <cell r="G607" t="str">
            <v>KABANGA MUYA</v>
          </cell>
          <cell r="N607" t="str">
            <v>746 NYEMBO/CADASTRE</v>
          </cell>
        </row>
        <row r="608">
          <cell r="B608" t="str">
            <v>PL601</v>
          </cell>
          <cell r="D608">
            <v>896067219</v>
          </cell>
          <cell r="F608" t="str">
            <v>abd</v>
          </cell>
          <cell r="G608" t="str">
            <v>MBUYI MBIKAYI</v>
          </cell>
          <cell r="N608" t="str">
            <v>743 NYEMBO/CADASTRE</v>
          </cell>
        </row>
        <row r="609">
          <cell r="B609" t="str">
            <v>PL602</v>
          </cell>
          <cell r="D609" t="str">
            <v>0814935827</v>
          </cell>
          <cell r="F609" t="str">
            <v>PY</v>
          </cell>
          <cell r="G609" t="str">
            <v>SABI KANIKI</v>
          </cell>
          <cell r="N609" t="str">
            <v>66 Av Mwamede</v>
          </cell>
        </row>
        <row r="610">
          <cell r="B610" t="str">
            <v>PL603</v>
          </cell>
          <cell r="D610">
            <v>898563517</v>
          </cell>
          <cell r="F610" t="str">
            <v>abd</v>
          </cell>
          <cell r="G610" t="str">
            <v>KABONGO KABANGU</v>
          </cell>
          <cell r="N610" t="str">
            <v>2787 ROUTE KASSAPA</v>
          </cell>
        </row>
        <row r="611">
          <cell r="B611" t="str">
            <v>PL604</v>
          </cell>
        </row>
        <row r="612">
          <cell r="B612" t="str">
            <v>PL605</v>
          </cell>
          <cell r="D612" t="str">
            <v/>
          </cell>
          <cell r="F612" t="str">
            <v>PY</v>
          </cell>
          <cell r="G612" t="str">
            <v>TSHAKWA MUKUTE</v>
          </cell>
          <cell r="N612" t="str">
            <v/>
          </cell>
        </row>
        <row r="613">
          <cell r="B613" t="str">
            <v>PL606</v>
          </cell>
          <cell r="D613">
            <v>994447991</v>
          </cell>
          <cell r="F613" t="str">
            <v>PY</v>
          </cell>
          <cell r="G613" t="str">
            <v>KISIMBA SESEMANI</v>
          </cell>
          <cell r="N613" t="str">
            <v>Q/MOISE</v>
          </cell>
        </row>
        <row r="614">
          <cell r="B614" t="str">
            <v>PL607</v>
          </cell>
        </row>
        <row r="615">
          <cell r="B615" t="str">
            <v>PL608</v>
          </cell>
          <cell r="D615">
            <v>829006378</v>
          </cell>
          <cell r="F615" t="str">
            <v>abd</v>
          </cell>
          <cell r="G615" t="str">
            <v>MUTOMBO KALUBA</v>
          </cell>
          <cell r="N615" t="str">
            <v>90 DE L'EGLISE</v>
          </cell>
        </row>
        <row r="616">
          <cell r="B616" t="str">
            <v>PL609</v>
          </cell>
          <cell r="D616" t="str">
            <v/>
          </cell>
          <cell r="F616" t="str">
            <v>PY</v>
          </cell>
          <cell r="G616" t="str">
            <v>MASENGO WA MBAYO</v>
          </cell>
          <cell r="N616" t="str">
            <v/>
          </cell>
        </row>
        <row r="617">
          <cell r="B617" t="str">
            <v>PL610</v>
          </cell>
          <cell r="D617" t="str">
            <v>0979537590</v>
          </cell>
          <cell r="F617" t="str">
            <v>PY</v>
          </cell>
          <cell r="G617" t="str">
            <v>KASAMBAN WA KASWIL</v>
          </cell>
          <cell r="N617" t="str">
            <v>AV KASANGULU</v>
          </cell>
        </row>
        <row r="618">
          <cell r="B618" t="str">
            <v>PL611</v>
          </cell>
          <cell r="D618" t="str">
            <v>0906025862</v>
          </cell>
          <cell r="F618" t="str">
            <v>PY</v>
          </cell>
          <cell r="G618" t="str">
            <v>KAPINGA BEYA</v>
          </cell>
          <cell r="N618" t="str">
            <v>01 DU CONGO</v>
          </cell>
        </row>
        <row r="619">
          <cell r="B619" t="str">
            <v>PL612</v>
          </cell>
          <cell r="D619" t="str">
            <v>0815955855</v>
          </cell>
          <cell r="F619" t="str">
            <v>PY</v>
          </cell>
          <cell r="G619" t="str">
            <v>LIAMBI IKALAMUSI</v>
          </cell>
          <cell r="N619" t="str">
            <v>AV DE L'EGLISE</v>
          </cell>
        </row>
        <row r="620">
          <cell r="B620" t="str">
            <v>PL613</v>
          </cell>
          <cell r="D620" t="str">
            <v>0815955855</v>
          </cell>
          <cell r="F620" t="str">
            <v>PY</v>
          </cell>
          <cell r="G620" t="str">
            <v>LIFONGA IKALAMUSI</v>
          </cell>
          <cell r="N620" t="str">
            <v>AV DE L'EGLISE</v>
          </cell>
        </row>
        <row r="621">
          <cell r="B621" t="str">
            <v>PL614</v>
          </cell>
          <cell r="D621" t="str">
            <v/>
          </cell>
          <cell r="F621" t="str">
            <v>PY</v>
          </cell>
          <cell r="G621" t="str">
            <v>IKONGA KAPILA</v>
          </cell>
          <cell r="N621" t="str">
            <v>30 KASANGULU</v>
          </cell>
        </row>
        <row r="622">
          <cell r="B622" t="str">
            <v>PL615</v>
          </cell>
          <cell r="F622" t="str">
            <v>abd</v>
          </cell>
          <cell r="G622" t="str">
            <v>SHIMBA MWASWANZAMBI</v>
          </cell>
        </row>
        <row r="623">
          <cell r="B623" t="str">
            <v>PL616</v>
          </cell>
          <cell r="D623" t="str">
            <v>0997024635</v>
          </cell>
          <cell r="F623" t="str">
            <v>PY</v>
          </cell>
          <cell r="G623" t="str">
            <v>MBUYI MAHIMBI</v>
          </cell>
          <cell r="N623" t="str">
            <v>37 AV. DU 30 JUIN</v>
          </cell>
        </row>
        <row r="624">
          <cell r="B624" t="str">
            <v>PL617</v>
          </cell>
          <cell r="D624" t="str">
            <v/>
          </cell>
          <cell r="F624" t="str">
            <v>PY</v>
          </cell>
          <cell r="G624" t="str">
            <v>TSHILEMB KASHAL</v>
          </cell>
          <cell r="N624" t="str">
            <v/>
          </cell>
        </row>
        <row r="625">
          <cell r="B625" t="str">
            <v>PL618</v>
          </cell>
          <cell r="D625" t="str">
            <v/>
          </cell>
          <cell r="F625" t="str">
            <v>PY</v>
          </cell>
          <cell r="G625" t="str">
            <v>OKUNGU OKITO</v>
          </cell>
          <cell r="N625" t="str">
            <v>AV DU CONSERVATEUR</v>
          </cell>
        </row>
        <row r="626">
          <cell r="B626" t="str">
            <v>PL619</v>
          </cell>
          <cell r="D626">
            <v>0</v>
          </cell>
          <cell r="F626" t="str">
            <v>PY</v>
          </cell>
          <cell r="G626" t="str">
            <v>KALEND KASHAL</v>
          </cell>
          <cell r="N626">
            <v>0</v>
          </cell>
        </row>
        <row r="627">
          <cell r="B627" t="str">
            <v>PL620</v>
          </cell>
          <cell r="D627" t="str">
            <v/>
          </cell>
          <cell r="F627" t="str">
            <v>PY</v>
          </cell>
          <cell r="G627" t="str">
            <v>KABIMB KASHAL</v>
          </cell>
          <cell r="N627" t="str">
            <v/>
          </cell>
        </row>
        <row r="628">
          <cell r="B628" t="str">
            <v>PL621</v>
          </cell>
          <cell r="D628" t="str">
            <v/>
          </cell>
          <cell r="F628" t="str">
            <v>PY</v>
          </cell>
          <cell r="G628" t="str">
            <v>NGOYI ILUNGA</v>
          </cell>
          <cell r="N628" t="str">
            <v/>
          </cell>
        </row>
        <row r="629">
          <cell r="B629" t="str">
            <v>PL622</v>
          </cell>
          <cell r="D629" t="str">
            <v>0977616670</v>
          </cell>
          <cell r="F629" t="str">
            <v>PY</v>
          </cell>
          <cell r="G629" t="str">
            <v>BAMFUMU NDOMBASI</v>
          </cell>
          <cell r="N629" t="str">
            <v/>
          </cell>
        </row>
        <row r="630">
          <cell r="B630" t="str">
            <v>PL623</v>
          </cell>
          <cell r="D630" t="str">
            <v/>
          </cell>
          <cell r="F630" t="str">
            <v>PY</v>
          </cell>
          <cell r="G630" t="str">
            <v>MPOYO KAUMBO</v>
          </cell>
          <cell r="N630" t="str">
            <v/>
          </cell>
        </row>
        <row r="631">
          <cell r="B631" t="str">
            <v>PL624</v>
          </cell>
        </row>
        <row r="632">
          <cell r="B632" t="str">
            <v>PL625</v>
          </cell>
          <cell r="D632" t="str">
            <v/>
          </cell>
          <cell r="F632" t="str">
            <v>PY</v>
          </cell>
          <cell r="G632" t="str">
            <v>KABWE SABWE</v>
          </cell>
          <cell r="N632" t="str">
            <v/>
          </cell>
        </row>
        <row r="633">
          <cell r="B633" t="str">
            <v>PL626</v>
          </cell>
          <cell r="D633" t="str">
            <v>0997974143/0997032428</v>
          </cell>
          <cell r="F633" t="str">
            <v>PY</v>
          </cell>
          <cell r="G633" t="str">
            <v>KEZA SERUGENDO</v>
          </cell>
          <cell r="N633" t="str">
            <v>AV DES TERMITIERES</v>
          </cell>
        </row>
        <row r="634">
          <cell r="B634" t="str">
            <v/>
          </cell>
          <cell r="D634">
            <v>0</v>
          </cell>
          <cell r="F634">
            <v>0</v>
          </cell>
          <cell r="G634">
            <v>0</v>
          </cell>
          <cell r="N634">
            <v>0</v>
          </cell>
        </row>
        <row r="635">
          <cell r="B635" t="str">
            <v/>
          </cell>
          <cell r="D635">
            <v>0</v>
          </cell>
          <cell r="F635">
            <v>0</v>
          </cell>
          <cell r="G635">
            <v>0</v>
          </cell>
          <cell r="N635">
            <v>0</v>
          </cell>
        </row>
        <row r="636">
          <cell r="B636" t="str">
            <v/>
          </cell>
        </row>
        <row r="637">
          <cell r="B637" t="str">
            <v/>
          </cell>
        </row>
        <row r="638">
          <cell r="B638" t="str">
            <v/>
          </cell>
        </row>
        <row r="639">
          <cell r="B639" t="str">
            <v/>
          </cell>
        </row>
        <row r="640">
          <cell r="B640" t="str">
            <v/>
          </cell>
        </row>
        <row r="641">
          <cell r="B641" t="str">
            <v/>
          </cell>
        </row>
        <row r="642">
          <cell r="B642" t="str">
            <v/>
          </cell>
        </row>
        <row r="643">
          <cell r="B643" t="str">
            <v/>
          </cell>
        </row>
        <row r="644">
          <cell r="B644" t="str">
            <v/>
          </cell>
        </row>
        <row r="645">
          <cell r="B645" t="str">
            <v/>
          </cell>
        </row>
        <row r="646">
          <cell r="B646" t="str">
            <v/>
          </cell>
        </row>
        <row r="647">
          <cell r="B647" t="str">
            <v/>
          </cell>
        </row>
        <row r="648">
          <cell r="B648" t="str">
            <v/>
          </cell>
        </row>
        <row r="649">
          <cell r="B649" t="str">
            <v/>
          </cell>
        </row>
        <row r="650">
          <cell r="B650" t="str">
            <v/>
          </cell>
        </row>
        <row r="651">
          <cell r="B651" t="str">
            <v/>
          </cell>
        </row>
        <row r="652">
          <cell r="B652" t="str">
            <v/>
          </cell>
        </row>
        <row r="653">
          <cell r="B653" t="str">
            <v/>
          </cell>
        </row>
        <row r="654">
          <cell r="B654" t="str">
            <v/>
          </cell>
        </row>
        <row r="655">
          <cell r="B655" t="str">
            <v/>
          </cell>
        </row>
        <row r="656">
          <cell r="B656" t="str">
            <v/>
          </cell>
        </row>
        <row r="657">
          <cell r="B657" t="str">
            <v/>
          </cell>
        </row>
        <row r="658">
          <cell r="B658" t="str">
            <v/>
          </cell>
        </row>
        <row r="659">
          <cell r="B659" t="str">
            <v/>
          </cell>
        </row>
        <row r="660">
          <cell r="B660" t="str">
            <v/>
          </cell>
        </row>
        <row r="661">
          <cell r="B661" t="str">
            <v/>
          </cell>
        </row>
        <row r="662">
          <cell r="B662" t="str">
            <v/>
          </cell>
        </row>
        <row r="663">
          <cell r="B663" t="str">
            <v/>
          </cell>
        </row>
        <row r="664">
          <cell r="B664" t="str">
            <v/>
          </cell>
        </row>
        <row r="665">
          <cell r="B665" t="str">
            <v/>
          </cell>
        </row>
        <row r="666">
          <cell r="B666" t="str">
            <v/>
          </cell>
        </row>
        <row r="667">
          <cell r="B667" t="str">
            <v/>
          </cell>
        </row>
        <row r="668">
          <cell r="B668" t="str">
            <v/>
          </cell>
        </row>
        <row r="669">
          <cell r="B669" t="str">
            <v/>
          </cell>
        </row>
        <row r="670">
          <cell r="B670" t="str">
            <v/>
          </cell>
        </row>
        <row r="671">
          <cell r="B671" t="str">
            <v/>
          </cell>
        </row>
        <row r="672">
          <cell r="B672" t="str">
            <v/>
          </cell>
        </row>
        <row r="673">
          <cell r="B673" t="str">
            <v/>
          </cell>
        </row>
        <row r="674">
          <cell r="B674" t="str">
            <v/>
          </cell>
        </row>
        <row r="675">
          <cell r="B675" t="str">
            <v/>
          </cell>
        </row>
        <row r="676">
          <cell r="B676" t="str">
            <v/>
          </cell>
        </row>
        <row r="677">
          <cell r="B677" t="str">
            <v/>
          </cell>
        </row>
        <row r="678">
          <cell r="B678" t="str">
            <v/>
          </cell>
        </row>
        <row r="679">
          <cell r="B679" t="str">
            <v/>
          </cell>
        </row>
        <row r="680">
          <cell r="B680" t="str">
            <v/>
          </cell>
        </row>
        <row r="681">
          <cell r="B681" t="str">
            <v/>
          </cell>
        </row>
        <row r="682">
          <cell r="B682" t="str">
            <v/>
          </cell>
        </row>
        <row r="683">
          <cell r="B683" t="str">
            <v/>
          </cell>
        </row>
        <row r="684">
          <cell r="B684" t="str">
            <v/>
          </cell>
        </row>
        <row r="685">
          <cell r="B685" t="str">
            <v/>
          </cell>
        </row>
        <row r="686">
          <cell r="B686" t="str">
            <v/>
          </cell>
        </row>
        <row r="687">
          <cell r="B687" t="str">
            <v/>
          </cell>
        </row>
        <row r="688">
          <cell r="B688" t="str">
            <v/>
          </cell>
        </row>
        <row r="689">
          <cell r="B689" t="str">
            <v/>
          </cell>
        </row>
        <row r="690">
          <cell r="B690" t="str">
            <v/>
          </cell>
        </row>
        <row r="691">
          <cell r="B691" t="str">
            <v/>
          </cell>
        </row>
        <row r="692">
          <cell r="B692" t="str">
            <v/>
          </cell>
        </row>
        <row r="693">
          <cell r="B693" t="str">
            <v/>
          </cell>
        </row>
        <row r="694">
          <cell r="B694" t="str">
            <v/>
          </cell>
        </row>
        <row r="695">
          <cell r="B695" t="str">
            <v/>
          </cell>
        </row>
        <row r="696">
          <cell r="B696" t="str">
            <v/>
          </cell>
        </row>
        <row r="697">
          <cell r="B697" t="str">
            <v/>
          </cell>
        </row>
        <row r="698">
          <cell r="B698" t="str">
            <v/>
          </cell>
        </row>
        <row r="699">
          <cell r="B699" t="str">
            <v/>
          </cell>
        </row>
        <row r="700">
          <cell r="B700" t="str">
            <v/>
          </cell>
        </row>
        <row r="701">
          <cell r="B701" t="str">
            <v/>
          </cell>
        </row>
        <row r="702">
          <cell r="B702" t="str">
            <v/>
          </cell>
        </row>
        <row r="703">
          <cell r="B703" t="str">
            <v/>
          </cell>
        </row>
        <row r="704">
          <cell r="B704" t="str">
            <v/>
          </cell>
        </row>
        <row r="705">
          <cell r="B705" t="str">
            <v/>
          </cell>
        </row>
        <row r="706">
          <cell r="B706" t="str">
            <v/>
          </cell>
        </row>
        <row r="707">
          <cell r="B707" t="str">
            <v/>
          </cell>
        </row>
        <row r="708">
          <cell r="B708" t="str">
            <v/>
          </cell>
        </row>
        <row r="709">
          <cell r="B709" t="str">
            <v/>
          </cell>
        </row>
        <row r="710">
          <cell r="B710" t="str">
            <v/>
          </cell>
        </row>
        <row r="711">
          <cell r="B711" t="str">
            <v/>
          </cell>
        </row>
        <row r="712">
          <cell r="B712" t="str">
            <v/>
          </cell>
        </row>
        <row r="713">
          <cell r="B713" t="str">
            <v/>
          </cell>
        </row>
        <row r="714">
          <cell r="B714" t="str">
            <v/>
          </cell>
        </row>
        <row r="715">
          <cell r="B715" t="str">
            <v/>
          </cell>
        </row>
        <row r="716">
          <cell r="B716" t="str">
            <v/>
          </cell>
        </row>
        <row r="717">
          <cell r="B717" t="str">
            <v/>
          </cell>
        </row>
        <row r="718">
          <cell r="B718" t="str">
            <v/>
          </cell>
        </row>
        <row r="719">
          <cell r="B719" t="str">
            <v/>
          </cell>
        </row>
        <row r="720">
          <cell r="B720" t="str">
            <v/>
          </cell>
        </row>
        <row r="721">
          <cell r="B721" t="str">
            <v/>
          </cell>
        </row>
        <row r="722">
          <cell r="B722" t="str">
            <v/>
          </cell>
        </row>
        <row r="723">
          <cell r="B723" t="str">
            <v/>
          </cell>
        </row>
        <row r="724">
          <cell r="B724" t="str">
            <v/>
          </cell>
        </row>
        <row r="725">
          <cell r="B725" t="str">
            <v/>
          </cell>
        </row>
        <row r="726">
          <cell r="B726" t="str">
            <v/>
          </cell>
        </row>
        <row r="727">
          <cell r="B727" t="str">
            <v/>
          </cell>
        </row>
        <row r="728">
          <cell r="B728" t="str">
            <v/>
          </cell>
        </row>
        <row r="729">
          <cell r="B729" t="str">
            <v/>
          </cell>
        </row>
        <row r="730">
          <cell r="B730" t="str">
            <v/>
          </cell>
        </row>
        <row r="731">
          <cell r="B731" t="str">
            <v/>
          </cell>
        </row>
        <row r="732">
          <cell r="B732" t="str">
            <v/>
          </cell>
        </row>
        <row r="733">
          <cell r="B733" t="str">
            <v/>
          </cell>
        </row>
        <row r="734">
          <cell r="B734" t="str">
            <v/>
          </cell>
        </row>
        <row r="735">
          <cell r="B735" t="str">
            <v/>
          </cell>
        </row>
        <row r="736">
          <cell r="B736" t="str">
            <v/>
          </cell>
        </row>
        <row r="737">
          <cell r="B737" t="str">
            <v/>
          </cell>
        </row>
        <row r="738">
          <cell r="B738" t="str">
            <v/>
          </cell>
        </row>
        <row r="739">
          <cell r="B739" t="str">
            <v/>
          </cell>
        </row>
        <row r="740">
          <cell r="B740" t="str">
            <v/>
          </cell>
        </row>
        <row r="741">
          <cell r="B741" t="str">
            <v/>
          </cell>
        </row>
        <row r="742">
          <cell r="B742" t="str">
            <v/>
          </cell>
        </row>
        <row r="743">
          <cell r="B743" t="str">
            <v/>
          </cell>
        </row>
        <row r="744">
          <cell r="B744" t="str">
            <v/>
          </cell>
        </row>
        <row r="745">
          <cell r="B745" t="str">
            <v/>
          </cell>
        </row>
        <row r="746">
          <cell r="B746" t="str">
            <v/>
          </cell>
        </row>
        <row r="747">
          <cell r="B747" t="str">
            <v/>
          </cell>
        </row>
        <row r="748">
          <cell r="B748" t="str">
            <v/>
          </cell>
        </row>
        <row r="749">
          <cell r="B749" t="str">
            <v/>
          </cell>
        </row>
        <row r="750">
          <cell r="B750" t="str">
            <v/>
          </cell>
        </row>
        <row r="751">
          <cell r="B751" t="str">
            <v/>
          </cell>
        </row>
        <row r="752">
          <cell r="B752" t="str">
            <v/>
          </cell>
        </row>
        <row r="753">
          <cell r="B753" t="str">
            <v/>
          </cell>
        </row>
        <row r="754">
          <cell r="B754" t="str">
            <v/>
          </cell>
        </row>
        <row r="755">
          <cell r="B755" t="str">
            <v/>
          </cell>
        </row>
        <row r="756">
          <cell r="B756" t="str">
            <v/>
          </cell>
        </row>
        <row r="757">
          <cell r="B757" t="str">
            <v/>
          </cell>
        </row>
        <row r="758">
          <cell r="B758" t="str">
            <v/>
          </cell>
        </row>
        <row r="759">
          <cell r="B759" t="str">
            <v/>
          </cell>
        </row>
        <row r="760">
          <cell r="B760" t="str">
            <v/>
          </cell>
        </row>
        <row r="761">
          <cell r="B761" t="str">
            <v/>
          </cell>
        </row>
        <row r="762">
          <cell r="B762" t="str">
            <v/>
          </cell>
        </row>
        <row r="763">
          <cell r="B763" t="str">
            <v/>
          </cell>
        </row>
        <row r="764">
          <cell r="B764" t="str">
            <v/>
          </cell>
        </row>
        <row r="765">
          <cell r="B765" t="str">
            <v/>
          </cell>
        </row>
        <row r="766">
          <cell r="B766" t="str">
            <v/>
          </cell>
        </row>
        <row r="767">
          <cell r="B767" t="str">
            <v/>
          </cell>
        </row>
        <row r="768">
          <cell r="B768" t="str">
            <v/>
          </cell>
        </row>
        <row r="769">
          <cell r="B769" t="str">
            <v/>
          </cell>
        </row>
        <row r="770">
          <cell r="B770" t="str">
            <v/>
          </cell>
        </row>
        <row r="771">
          <cell r="B771" t="str">
            <v/>
          </cell>
        </row>
        <row r="772">
          <cell r="B772" t="str">
            <v/>
          </cell>
        </row>
        <row r="773">
          <cell r="B773" t="str">
            <v/>
          </cell>
        </row>
        <row r="774">
          <cell r="B774" t="str">
            <v/>
          </cell>
        </row>
        <row r="775">
          <cell r="B775" t="str">
            <v/>
          </cell>
        </row>
        <row r="776">
          <cell r="B776" t="str">
            <v/>
          </cell>
        </row>
        <row r="777">
          <cell r="B777" t="str">
            <v/>
          </cell>
        </row>
        <row r="778">
          <cell r="B778" t="str">
            <v/>
          </cell>
        </row>
        <row r="779">
          <cell r="B779" t="str">
            <v/>
          </cell>
        </row>
        <row r="780">
          <cell r="B780" t="str">
            <v/>
          </cell>
        </row>
        <row r="781">
          <cell r="B781" t="str">
            <v/>
          </cell>
        </row>
        <row r="782">
          <cell r="B782" t="str">
            <v/>
          </cell>
        </row>
        <row r="783">
          <cell r="B783" t="str">
            <v/>
          </cell>
        </row>
        <row r="784">
          <cell r="B784" t="str">
            <v/>
          </cell>
        </row>
        <row r="785">
          <cell r="B785" t="str">
            <v/>
          </cell>
        </row>
        <row r="786">
          <cell r="B786" t="str">
            <v/>
          </cell>
        </row>
        <row r="787">
          <cell r="B787" t="str">
            <v/>
          </cell>
        </row>
        <row r="788">
          <cell r="B788" t="str">
            <v/>
          </cell>
        </row>
        <row r="789">
          <cell r="B789" t="str">
            <v/>
          </cell>
        </row>
        <row r="790">
          <cell r="B790" t="str">
            <v/>
          </cell>
        </row>
        <row r="791">
          <cell r="B791" t="str">
            <v/>
          </cell>
        </row>
        <row r="792">
          <cell r="B792" t="str">
            <v/>
          </cell>
        </row>
        <row r="793">
          <cell r="B793" t="str">
            <v/>
          </cell>
        </row>
        <row r="794">
          <cell r="B794" t="str">
            <v/>
          </cell>
        </row>
        <row r="795">
          <cell r="B795" t="str">
            <v/>
          </cell>
        </row>
        <row r="796">
          <cell r="B796" t="str">
            <v/>
          </cell>
        </row>
        <row r="797">
          <cell r="B797" t="str">
            <v/>
          </cell>
        </row>
        <row r="798">
          <cell r="B798" t="str">
            <v/>
          </cell>
        </row>
        <row r="799">
          <cell r="B799" t="str">
            <v/>
          </cell>
        </row>
        <row r="800">
          <cell r="B800" t="str">
            <v/>
          </cell>
        </row>
        <row r="801">
          <cell r="B801" t="str">
            <v/>
          </cell>
        </row>
        <row r="802">
          <cell r="B802" t="str">
            <v/>
          </cell>
        </row>
        <row r="803">
          <cell r="B803" t="str">
            <v/>
          </cell>
        </row>
        <row r="804">
          <cell r="B804" t="str">
            <v/>
          </cell>
        </row>
        <row r="805">
          <cell r="B805" t="str">
            <v/>
          </cell>
        </row>
        <row r="806">
          <cell r="B806" t="str">
            <v/>
          </cell>
        </row>
        <row r="807">
          <cell r="B807" t="str">
            <v/>
          </cell>
        </row>
        <row r="808">
          <cell r="B808" t="str">
            <v/>
          </cell>
        </row>
        <row r="809">
          <cell r="B809" t="str">
            <v/>
          </cell>
        </row>
        <row r="810">
          <cell r="B810" t="str">
            <v/>
          </cell>
        </row>
        <row r="811">
          <cell r="B811" t="str">
            <v/>
          </cell>
        </row>
        <row r="812">
          <cell r="B812" t="str">
            <v/>
          </cell>
        </row>
        <row r="813">
          <cell r="B813" t="str">
            <v/>
          </cell>
        </row>
        <row r="814">
          <cell r="B814" t="str">
            <v/>
          </cell>
        </row>
        <row r="815">
          <cell r="B815" t="str">
            <v/>
          </cell>
        </row>
        <row r="816">
          <cell r="B816" t="str">
            <v/>
          </cell>
        </row>
        <row r="817">
          <cell r="B817" t="str">
            <v/>
          </cell>
        </row>
        <row r="818">
          <cell r="B818" t="str">
            <v/>
          </cell>
        </row>
        <row r="819">
          <cell r="B819" t="str">
            <v/>
          </cell>
        </row>
        <row r="820">
          <cell r="B820" t="str">
            <v/>
          </cell>
        </row>
        <row r="821">
          <cell r="B821" t="str">
            <v/>
          </cell>
        </row>
        <row r="822">
          <cell r="B822" t="str">
            <v/>
          </cell>
        </row>
        <row r="823">
          <cell r="B823" t="str">
            <v/>
          </cell>
        </row>
        <row r="824">
          <cell r="B824" t="str">
            <v/>
          </cell>
        </row>
        <row r="825">
          <cell r="B825" t="str">
            <v/>
          </cell>
        </row>
        <row r="826">
          <cell r="B826" t="str">
            <v/>
          </cell>
        </row>
        <row r="827">
          <cell r="B827" t="str">
            <v/>
          </cell>
        </row>
        <row r="828">
          <cell r="B828" t="str">
            <v/>
          </cell>
        </row>
        <row r="829">
          <cell r="B829" t="str">
            <v/>
          </cell>
        </row>
        <row r="830">
          <cell r="B830" t="str">
            <v/>
          </cell>
        </row>
        <row r="831">
          <cell r="B831" t="str">
            <v/>
          </cell>
        </row>
        <row r="832">
          <cell r="B832" t="str">
            <v/>
          </cell>
        </row>
        <row r="833">
          <cell r="B833" t="str">
            <v/>
          </cell>
        </row>
        <row r="834">
          <cell r="B834" t="str">
            <v/>
          </cell>
        </row>
        <row r="835">
          <cell r="B835" t="str">
            <v/>
          </cell>
        </row>
        <row r="836">
          <cell r="B836" t="str">
            <v/>
          </cell>
        </row>
        <row r="837">
          <cell r="B837" t="str">
            <v/>
          </cell>
        </row>
        <row r="838">
          <cell r="B838" t="str">
            <v/>
          </cell>
        </row>
        <row r="839">
          <cell r="B839" t="str">
            <v/>
          </cell>
        </row>
        <row r="840">
          <cell r="B840" t="str">
            <v/>
          </cell>
        </row>
        <row r="841">
          <cell r="B841" t="str">
            <v/>
          </cell>
        </row>
        <row r="842">
          <cell r="B842" t="str">
            <v/>
          </cell>
        </row>
        <row r="843">
          <cell r="B843" t="str">
            <v/>
          </cell>
        </row>
        <row r="844">
          <cell r="B844" t="str">
            <v/>
          </cell>
        </row>
        <row r="845">
          <cell r="B845" t="str">
            <v/>
          </cell>
        </row>
        <row r="846">
          <cell r="B846" t="str">
            <v/>
          </cell>
        </row>
        <row r="847">
          <cell r="B847" t="str">
            <v/>
          </cell>
        </row>
        <row r="848">
          <cell r="B848" t="str">
            <v/>
          </cell>
        </row>
        <row r="849">
          <cell r="B849" t="str">
            <v/>
          </cell>
        </row>
        <row r="850">
          <cell r="B850" t="str">
            <v/>
          </cell>
        </row>
        <row r="851">
          <cell r="B851" t="str">
            <v/>
          </cell>
        </row>
        <row r="852">
          <cell r="B852" t="str">
            <v/>
          </cell>
        </row>
        <row r="853">
          <cell r="B853" t="str">
            <v/>
          </cell>
        </row>
        <row r="854">
          <cell r="B854" t="str">
            <v/>
          </cell>
        </row>
        <row r="855">
          <cell r="B855" t="str">
            <v/>
          </cell>
        </row>
        <row r="856">
          <cell r="B856" t="str">
            <v/>
          </cell>
        </row>
        <row r="857">
          <cell r="B857" t="str">
            <v/>
          </cell>
        </row>
        <row r="858">
          <cell r="B858" t="str">
            <v/>
          </cell>
        </row>
        <row r="859">
          <cell r="B859" t="str">
            <v/>
          </cell>
        </row>
        <row r="860">
          <cell r="B860" t="str">
            <v/>
          </cell>
        </row>
        <row r="861">
          <cell r="B861" t="str">
            <v/>
          </cell>
        </row>
        <row r="862">
          <cell r="B862" t="str">
            <v/>
          </cell>
        </row>
        <row r="863">
          <cell r="B863" t="str">
            <v/>
          </cell>
        </row>
        <row r="864">
          <cell r="B864" t="str">
            <v/>
          </cell>
        </row>
        <row r="865">
          <cell r="B865" t="str">
            <v/>
          </cell>
        </row>
        <row r="866">
          <cell r="B866" t="str">
            <v/>
          </cell>
        </row>
        <row r="867">
          <cell r="B867" t="str">
            <v/>
          </cell>
        </row>
        <row r="868">
          <cell r="B868" t="str">
            <v/>
          </cell>
        </row>
        <row r="869">
          <cell r="B869" t="str">
            <v/>
          </cell>
        </row>
        <row r="870">
          <cell r="B870" t="str">
            <v/>
          </cell>
        </row>
        <row r="871">
          <cell r="B871" t="str">
            <v/>
          </cell>
        </row>
        <row r="872">
          <cell r="B872" t="str">
            <v/>
          </cell>
        </row>
        <row r="873">
          <cell r="B873" t="str">
            <v/>
          </cell>
        </row>
        <row r="874">
          <cell r="B874" t="str">
            <v/>
          </cell>
        </row>
        <row r="875">
          <cell r="B875" t="str">
            <v/>
          </cell>
        </row>
        <row r="876">
          <cell r="B876" t="str">
            <v/>
          </cell>
        </row>
        <row r="877">
          <cell r="B877" t="str">
            <v/>
          </cell>
        </row>
        <row r="878">
          <cell r="B878" t="str">
            <v/>
          </cell>
        </row>
        <row r="879">
          <cell r="B879" t="str">
            <v/>
          </cell>
        </row>
        <row r="880">
          <cell r="B880" t="str">
            <v/>
          </cell>
        </row>
        <row r="881">
          <cell r="B881" t="str">
            <v/>
          </cell>
        </row>
        <row r="882">
          <cell r="B882" t="str">
            <v/>
          </cell>
        </row>
        <row r="883">
          <cell r="B883" t="str">
            <v/>
          </cell>
        </row>
        <row r="884">
          <cell r="B884" t="str">
            <v/>
          </cell>
        </row>
        <row r="885">
          <cell r="B885" t="str">
            <v/>
          </cell>
        </row>
        <row r="886">
          <cell r="B886" t="str">
            <v/>
          </cell>
        </row>
        <row r="887">
          <cell r="B887" t="str">
            <v/>
          </cell>
        </row>
        <row r="888">
          <cell r="B888" t="str">
            <v/>
          </cell>
        </row>
        <row r="889">
          <cell r="B889" t="str">
            <v/>
          </cell>
        </row>
        <row r="890">
          <cell r="B890" t="str">
            <v/>
          </cell>
        </row>
        <row r="891">
          <cell r="B891" t="str">
            <v/>
          </cell>
        </row>
        <row r="892">
          <cell r="B892" t="str">
            <v/>
          </cell>
        </row>
        <row r="893">
          <cell r="B893" t="str">
            <v/>
          </cell>
        </row>
        <row r="894">
          <cell r="B894" t="str">
            <v/>
          </cell>
        </row>
        <row r="895">
          <cell r="B895" t="str">
            <v/>
          </cell>
        </row>
        <row r="896">
          <cell r="B896" t="str">
            <v/>
          </cell>
        </row>
        <row r="897">
          <cell r="B897" t="str">
            <v/>
          </cell>
        </row>
        <row r="898">
          <cell r="B898" t="str">
            <v/>
          </cell>
        </row>
        <row r="899">
          <cell r="B899" t="str">
            <v/>
          </cell>
        </row>
        <row r="900">
          <cell r="B900" t="str">
            <v/>
          </cell>
        </row>
        <row r="901">
          <cell r="B901" t="str">
            <v/>
          </cell>
        </row>
        <row r="902">
          <cell r="B902" t="str">
            <v/>
          </cell>
        </row>
        <row r="903">
          <cell r="B903" t="str">
            <v/>
          </cell>
        </row>
        <row r="904">
          <cell r="B904" t="str">
            <v/>
          </cell>
        </row>
        <row r="905">
          <cell r="B905" t="str">
            <v/>
          </cell>
        </row>
        <row r="906">
          <cell r="B906" t="str">
            <v/>
          </cell>
        </row>
        <row r="907">
          <cell r="B907" t="str">
            <v/>
          </cell>
        </row>
        <row r="908">
          <cell r="B908" t="str">
            <v/>
          </cell>
        </row>
        <row r="909">
          <cell r="B909" t="str">
            <v/>
          </cell>
        </row>
        <row r="910">
          <cell r="B910" t="str">
            <v/>
          </cell>
        </row>
        <row r="911">
          <cell r="B911" t="str">
            <v/>
          </cell>
        </row>
        <row r="912">
          <cell r="B912" t="str">
            <v/>
          </cell>
        </row>
        <row r="913">
          <cell r="B913" t="str">
            <v/>
          </cell>
        </row>
        <row r="914">
          <cell r="B914" t="str">
            <v/>
          </cell>
        </row>
        <row r="915">
          <cell r="B915" t="str">
            <v/>
          </cell>
        </row>
        <row r="916">
          <cell r="B916" t="str">
            <v/>
          </cell>
        </row>
        <row r="917">
          <cell r="B917" t="str">
            <v/>
          </cell>
        </row>
        <row r="918">
          <cell r="B918" t="str">
            <v/>
          </cell>
        </row>
        <row r="919">
          <cell r="B919" t="str">
            <v/>
          </cell>
        </row>
        <row r="920">
          <cell r="B920" t="str">
            <v/>
          </cell>
        </row>
        <row r="921">
          <cell r="B921" t="str">
            <v/>
          </cell>
        </row>
        <row r="922">
          <cell r="B922" t="str">
            <v/>
          </cell>
        </row>
        <row r="923">
          <cell r="B923" t="str">
            <v/>
          </cell>
        </row>
        <row r="924">
          <cell r="B924" t="str">
            <v/>
          </cell>
        </row>
        <row r="925">
          <cell r="B925" t="str">
            <v/>
          </cell>
        </row>
        <row r="926">
          <cell r="B926" t="str">
            <v/>
          </cell>
        </row>
        <row r="927">
          <cell r="B927" t="str">
            <v/>
          </cell>
        </row>
        <row r="928">
          <cell r="B928" t="str">
            <v/>
          </cell>
        </row>
        <row r="929">
          <cell r="B929" t="str">
            <v/>
          </cell>
        </row>
        <row r="930">
          <cell r="B930" t="str">
            <v/>
          </cell>
        </row>
        <row r="931">
          <cell r="B931" t="str">
            <v/>
          </cell>
        </row>
        <row r="932">
          <cell r="B932" t="str">
            <v/>
          </cell>
        </row>
        <row r="933">
          <cell r="B933" t="str">
            <v/>
          </cell>
        </row>
        <row r="934">
          <cell r="B934" t="str">
            <v/>
          </cell>
        </row>
        <row r="935">
          <cell r="B935" t="str">
            <v/>
          </cell>
        </row>
        <row r="936">
          <cell r="B936" t="str">
            <v/>
          </cell>
        </row>
        <row r="937">
          <cell r="B937" t="str">
            <v/>
          </cell>
        </row>
        <row r="938">
          <cell r="B938" t="str">
            <v/>
          </cell>
        </row>
        <row r="939">
          <cell r="B939" t="str">
            <v/>
          </cell>
        </row>
        <row r="940">
          <cell r="B940" t="str">
            <v/>
          </cell>
        </row>
        <row r="941">
          <cell r="B941" t="str">
            <v/>
          </cell>
        </row>
        <row r="942">
          <cell r="B942" t="str">
            <v/>
          </cell>
        </row>
        <row r="943">
          <cell r="B943" t="str">
            <v/>
          </cell>
        </row>
        <row r="944">
          <cell r="B944" t="str">
            <v/>
          </cell>
        </row>
        <row r="945">
          <cell r="B945" t="str">
            <v/>
          </cell>
        </row>
        <row r="946">
          <cell r="B946" t="str">
            <v/>
          </cell>
        </row>
        <row r="947">
          <cell r="B947" t="str">
            <v/>
          </cell>
        </row>
        <row r="948">
          <cell r="B948" t="str">
            <v/>
          </cell>
        </row>
        <row r="949">
          <cell r="B949" t="str">
            <v/>
          </cell>
        </row>
        <row r="950">
          <cell r="B950" t="str">
            <v/>
          </cell>
        </row>
        <row r="951">
          <cell r="B951" t="str">
            <v/>
          </cell>
        </row>
        <row r="952">
          <cell r="B952" t="str">
            <v/>
          </cell>
        </row>
        <row r="953">
          <cell r="B953" t="str">
            <v/>
          </cell>
        </row>
        <row r="954">
          <cell r="B954" t="str">
            <v/>
          </cell>
        </row>
        <row r="955">
          <cell r="B955" t="str">
            <v/>
          </cell>
        </row>
        <row r="956">
          <cell r="B956" t="str">
            <v/>
          </cell>
        </row>
        <row r="957">
          <cell r="B957" t="str">
            <v/>
          </cell>
        </row>
        <row r="958">
          <cell r="B958" t="str">
            <v/>
          </cell>
        </row>
        <row r="959">
          <cell r="B959" t="str">
            <v/>
          </cell>
        </row>
        <row r="960">
          <cell r="B960" t="str">
            <v/>
          </cell>
        </row>
        <row r="961">
          <cell r="B961" t="str">
            <v/>
          </cell>
        </row>
        <row r="962">
          <cell r="B962" t="str">
            <v/>
          </cell>
        </row>
        <row r="963">
          <cell r="B963" t="str">
            <v/>
          </cell>
        </row>
        <row r="964">
          <cell r="B964" t="str">
            <v/>
          </cell>
        </row>
        <row r="965">
          <cell r="B965" t="str">
            <v/>
          </cell>
        </row>
        <row r="966">
          <cell r="B966" t="str">
            <v/>
          </cell>
        </row>
        <row r="967">
          <cell r="B967" t="str">
            <v/>
          </cell>
        </row>
        <row r="968">
          <cell r="B968" t="str">
            <v/>
          </cell>
        </row>
        <row r="969">
          <cell r="B969" t="str">
            <v/>
          </cell>
        </row>
        <row r="970">
          <cell r="B970" t="str">
            <v/>
          </cell>
        </row>
        <row r="971">
          <cell r="B971" t="str">
            <v/>
          </cell>
        </row>
        <row r="972">
          <cell r="B972" t="str">
            <v/>
          </cell>
        </row>
        <row r="973">
          <cell r="B973" t="str">
            <v/>
          </cell>
        </row>
        <row r="974">
          <cell r="B974" t="str">
            <v/>
          </cell>
        </row>
        <row r="975">
          <cell r="B975" t="str">
            <v/>
          </cell>
        </row>
        <row r="976">
          <cell r="B976" t="str">
            <v/>
          </cell>
        </row>
        <row r="977">
          <cell r="B977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  <row r="2094">
          <cell r="B2094" t="str">
            <v/>
          </cell>
        </row>
        <row r="2095">
          <cell r="B2095" t="str">
            <v/>
          </cell>
        </row>
        <row r="2096">
          <cell r="B2096" t="str">
            <v/>
          </cell>
        </row>
        <row r="2097">
          <cell r="B2097" t="str">
            <v/>
          </cell>
        </row>
        <row r="2098">
          <cell r="B2098" t="str">
            <v/>
          </cell>
        </row>
        <row r="2099">
          <cell r="B2099" t="str">
            <v/>
          </cell>
        </row>
        <row r="2100">
          <cell r="B2100" t="str">
            <v/>
          </cell>
        </row>
        <row r="2101">
          <cell r="B2101" t="str">
            <v/>
          </cell>
        </row>
        <row r="2102">
          <cell r="B2102" t="str">
            <v/>
          </cell>
        </row>
        <row r="2103">
          <cell r="B2103" t="str">
            <v/>
          </cell>
        </row>
        <row r="2104">
          <cell r="B2104" t="str">
            <v/>
          </cell>
        </row>
        <row r="2105">
          <cell r="B2105" t="str">
            <v/>
          </cell>
        </row>
        <row r="2106">
          <cell r="B2106" t="str">
            <v/>
          </cell>
        </row>
        <row r="2107">
          <cell r="B2107" t="str">
            <v/>
          </cell>
        </row>
        <row r="2108">
          <cell r="B2108" t="str">
            <v/>
          </cell>
        </row>
        <row r="2109">
          <cell r="B2109" t="str">
            <v/>
          </cell>
        </row>
        <row r="2110">
          <cell r="B2110" t="str">
            <v/>
          </cell>
        </row>
        <row r="2111">
          <cell r="B2111" t="str">
            <v/>
          </cell>
        </row>
        <row r="2112">
          <cell r="B2112" t="str">
            <v/>
          </cell>
        </row>
        <row r="2113">
          <cell r="B2113" t="str">
            <v/>
          </cell>
        </row>
        <row r="2114">
          <cell r="B2114" t="str">
            <v/>
          </cell>
        </row>
        <row r="2115">
          <cell r="B2115" t="str">
            <v/>
          </cell>
        </row>
        <row r="2116">
          <cell r="B2116" t="str">
            <v/>
          </cell>
        </row>
        <row r="2117">
          <cell r="B2117" t="str">
            <v/>
          </cell>
        </row>
        <row r="2118">
          <cell r="B2118" t="str">
            <v/>
          </cell>
        </row>
        <row r="2119">
          <cell r="B2119" t="str">
            <v/>
          </cell>
        </row>
        <row r="2120">
          <cell r="B2120" t="str">
            <v/>
          </cell>
        </row>
        <row r="2121">
          <cell r="B2121" t="str">
            <v/>
          </cell>
        </row>
        <row r="2122">
          <cell r="B2122" t="str">
            <v/>
          </cell>
        </row>
        <row r="2123">
          <cell r="B2123" t="str">
            <v/>
          </cell>
        </row>
        <row r="2124">
          <cell r="B2124" t="str">
            <v/>
          </cell>
        </row>
        <row r="2125">
          <cell r="B2125" t="str">
            <v/>
          </cell>
        </row>
        <row r="2126">
          <cell r="B2126" t="str">
            <v/>
          </cell>
        </row>
        <row r="2127">
          <cell r="B2127" t="str">
            <v/>
          </cell>
        </row>
        <row r="2128">
          <cell r="B2128" t="str">
            <v/>
          </cell>
        </row>
        <row r="2129">
          <cell r="B2129" t="str">
            <v/>
          </cell>
        </row>
        <row r="2130">
          <cell r="B2130" t="str">
            <v/>
          </cell>
        </row>
        <row r="2131">
          <cell r="B2131" t="str">
            <v/>
          </cell>
        </row>
        <row r="2132">
          <cell r="B2132" t="str">
            <v/>
          </cell>
        </row>
        <row r="2133">
          <cell r="B2133" t="str">
            <v/>
          </cell>
        </row>
        <row r="2134">
          <cell r="B2134" t="str">
            <v/>
          </cell>
        </row>
        <row r="2135">
          <cell r="B2135" t="str">
            <v/>
          </cell>
        </row>
        <row r="2136">
          <cell r="B2136" t="str">
            <v/>
          </cell>
        </row>
        <row r="2137">
          <cell r="B2137" t="str">
            <v/>
          </cell>
        </row>
        <row r="2138">
          <cell r="B2138" t="str">
            <v/>
          </cell>
        </row>
        <row r="2139">
          <cell r="B2139" t="str">
            <v/>
          </cell>
        </row>
        <row r="2140">
          <cell r="B2140" t="str">
            <v/>
          </cell>
        </row>
        <row r="2141">
          <cell r="B2141" t="str">
            <v/>
          </cell>
        </row>
        <row r="2142">
          <cell r="B2142" t="str">
            <v/>
          </cell>
        </row>
        <row r="2143">
          <cell r="B2143" t="str">
            <v/>
          </cell>
        </row>
        <row r="2144">
          <cell r="B2144" t="str">
            <v/>
          </cell>
        </row>
        <row r="2145">
          <cell r="B2145" t="str">
            <v/>
          </cell>
        </row>
        <row r="2146">
          <cell r="B2146" t="str">
            <v/>
          </cell>
        </row>
        <row r="2147">
          <cell r="B2147" t="str">
            <v/>
          </cell>
        </row>
        <row r="2148">
          <cell r="B2148" t="str">
            <v/>
          </cell>
        </row>
        <row r="2149">
          <cell r="B2149" t="str">
            <v/>
          </cell>
        </row>
        <row r="2150">
          <cell r="B2150" t="str">
            <v/>
          </cell>
        </row>
        <row r="2151">
          <cell r="B2151" t="str">
            <v/>
          </cell>
        </row>
        <row r="2152">
          <cell r="B2152" t="str">
            <v/>
          </cell>
        </row>
        <row r="2153">
          <cell r="B2153" t="str">
            <v/>
          </cell>
        </row>
        <row r="2154">
          <cell r="B2154" t="str">
            <v/>
          </cell>
        </row>
        <row r="2155">
          <cell r="B2155" t="str">
            <v/>
          </cell>
        </row>
        <row r="2156">
          <cell r="B2156" t="str">
            <v/>
          </cell>
        </row>
        <row r="2157">
          <cell r="B2157" t="str">
            <v/>
          </cell>
        </row>
        <row r="2158">
          <cell r="B2158" t="str">
            <v/>
          </cell>
        </row>
        <row r="2159">
          <cell r="B2159" t="str">
            <v/>
          </cell>
        </row>
        <row r="2160">
          <cell r="B2160" t="str">
            <v/>
          </cell>
        </row>
        <row r="2161">
          <cell r="B2161" t="str">
            <v/>
          </cell>
        </row>
        <row r="2162">
          <cell r="B2162" t="str">
            <v/>
          </cell>
        </row>
        <row r="2163">
          <cell r="B2163" t="str">
            <v/>
          </cell>
        </row>
        <row r="2164">
          <cell r="B2164" t="str">
            <v/>
          </cell>
        </row>
        <row r="2165">
          <cell r="B2165" t="str">
            <v/>
          </cell>
        </row>
        <row r="2166">
          <cell r="B2166" t="str">
            <v/>
          </cell>
        </row>
        <row r="2167">
          <cell r="B2167" t="str">
            <v/>
          </cell>
        </row>
        <row r="2168">
          <cell r="B2168" t="str">
            <v/>
          </cell>
        </row>
        <row r="2169">
          <cell r="B2169" t="str">
            <v/>
          </cell>
        </row>
        <row r="2170">
          <cell r="B2170" t="str">
            <v/>
          </cell>
        </row>
        <row r="2171">
          <cell r="B2171" t="str">
            <v/>
          </cell>
        </row>
        <row r="2172">
          <cell r="B2172" t="str">
            <v/>
          </cell>
        </row>
        <row r="2173">
          <cell r="B2173" t="str">
            <v/>
          </cell>
        </row>
        <row r="2174">
          <cell r="B2174" t="str">
            <v/>
          </cell>
        </row>
        <row r="2175">
          <cell r="B2175" t="str">
            <v/>
          </cell>
        </row>
        <row r="2176">
          <cell r="B2176" t="str">
            <v/>
          </cell>
        </row>
        <row r="2177">
          <cell r="B2177" t="str">
            <v/>
          </cell>
        </row>
        <row r="2178">
          <cell r="B2178" t="str">
            <v/>
          </cell>
        </row>
        <row r="2179">
          <cell r="B2179" t="str">
            <v/>
          </cell>
        </row>
        <row r="2180">
          <cell r="B2180" t="str">
            <v/>
          </cell>
        </row>
        <row r="2181">
          <cell r="B2181" t="str">
            <v/>
          </cell>
        </row>
        <row r="2182">
          <cell r="B2182" t="str">
            <v/>
          </cell>
        </row>
        <row r="2183">
          <cell r="B2183" t="str">
            <v/>
          </cell>
        </row>
        <row r="2184">
          <cell r="B2184" t="str">
            <v/>
          </cell>
        </row>
        <row r="2185">
          <cell r="B2185" t="str">
            <v/>
          </cell>
        </row>
        <row r="2186">
          <cell r="B2186" t="str">
            <v/>
          </cell>
        </row>
        <row r="2187">
          <cell r="B2187" t="str">
            <v/>
          </cell>
        </row>
        <row r="2188">
          <cell r="B2188" t="str">
            <v/>
          </cell>
        </row>
        <row r="2189">
          <cell r="B2189" t="str">
            <v/>
          </cell>
        </row>
        <row r="2190">
          <cell r="B2190" t="str">
            <v/>
          </cell>
        </row>
        <row r="2191">
          <cell r="B2191" t="str">
            <v/>
          </cell>
        </row>
        <row r="2192">
          <cell r="B2192" t="str">
            <v/>
          </cell>
        </row>
        <row r="2193">
          <cell r="B2193" t="str">
            <v/>
          </cell>
        </row>
        <row r="2194">
          <cell r="B2194" t="str">
            <v/>
          </cell>
        </row>
        <row r="2195">
          <cell r="B2195" t="str">
            <v/>
          </cell>
        </row>
        <row r="2196">
          <cell r="B2196" t="str">
            <v/>
          </cell>
        </row>
        <row r="2197">
          <cell r="B2197" t="str">
            <v/>
          </cell>
        </row>
        <row r="2198">
          <cell r="B2198" t="str">
            <v/>
          </cell>
        </row>
        <row r="2199">
          <cell r="B2199" t="str">
            <v/>
          </cell>
        </row>
        <row r="2200">
          <cell r="B2200" t="str">
            <v/>
          </cell>
        </row>
        <row r="2201">
          <cell r="B2201" t="str">
            <v/>
          </cell>
        </row>
        <row r="2202">
          <cell r="B2202" t="str">
            <v/>
          </cell>
        </row>
        <row r="2203">
          <cell r="B2203" t="str">
            <v/>
          </cell>
        </row>
        <row r="2204">
          <cell r="B2204" t="str">
            <v/>
          </cell>
        </row>
        <row r="2205">
          <cell r="B2205" t="str">
            <v/>
          </cell>
        </row>
        <row r="2206">
          <cell r="B2206" t="str">
            <v/>
          </cell>
        </row>
        <row r="2207">
          <cell r="B2207" t="str">
            <v/>
          </cell>
        </row>
        <row r="2208">
          <cell r="B2208" t="str">
            <v/>
          </cell>
        </row>
        <row r="2209">
          <cell r="B2209" t="str">
            <v/>
          </cell>
        </row>
        <row r="2210">
          <cell r="B2210" t="str">
            <v/>
          </cell>
        </row>
        <row r="2211">
          <cell r="B2211" t="str">
            <v/>
          </cell>
        </row>
        <row r="2212">
          <cell r="B2212" t="str">
            <v/>
          </cell>
        </row>
        <row r="2213">
          <cell r="B2213" t="str">
            <v/>
          </cell>
        </row>
        <row r="2214">
          <cell r="B2214" t="str">
            <v/>
          </cell>
        </row>
        <row r="2215">
          <cell r="B2215" t="str">
            <v/>
          </cell>
        </row>
        <row r="2216">
          <cell r="B2216" t="str">
            <v/>
          </cell>
        </row>
        <row r="2217">
          <cell r="B2217" t="str">
            <v/>
          </cell>
        </row>
        <row r="2218">
          <cell r="B2218" t="str">
            <v/>
          </cell>
        </row>
        <row r="2219">
          <cell r="B2219" t="str">
            <v/>
          </cell>
        </row>
        <row r="2220">
          <cell r="B2220" t="str">
            <v/>
          </cell>
        </row>
        <row r="2221">
          <cell r="B2221" t="str">
            <v/>
          </cell>
        </row>
        <row r="2222">
          <cell r="B2222" t="str">
            <v/>
          </cell>
        </row>
        <row r="2223">
          <cell r="B2223" t="str">
            <v/>
          </cell>
        </row>
        <row r="2224">
          <cell r="B2224" t="str">
            <v/>
          </cell>
        </row>
        <row r="2225">
          <cell r="B2225" t="str">
            <v/>
          </cell>
        </row>
        <row r="2226">
          <cell r="B2226" t="str">
            <v/>
          </cell>
        </row>
        <row r="2227">
          <cell r="B2227" t="str">
            <v/>
          </cell>
        </row>
        <row r="2228">
          <cell r="B2228" t="str">
            <v/>
          </cell>
        </row>
        <row r="2229">
          <cell r="B2229" t="str">
            <v/>
          </cell>
        </row>
        <row r="2230">
          <cell r="B2230" t="str">
            <v/>
          </cell>
        </row>
        <row r="2231">
          <cell r="B2231" t="str">
            <v/>
          </cell>
        </row>
        <row r="2232">
          <cell r="B2232" t="str">
            <v/>
          </cell>
        </row>
        <row r="2233">
          <cell r="B2233" t="str">
            <v/>
          </cell>
        </row>
        <row r="2234">
          <cell r="B2234" t="str">
            <v/>
          </cell>
        </row>
        <row r="2235">
          <cell r="B2235" t="str">
            <v/>
          </cell>
        </row>
        <row r="2236">
          <cell r="B2236" t="str">
            <v/>
          </cell>
        </row>
        <row r="2237">
          <cell r="B2237" t="str">
            <v/>
          </cell>
        </row>
        <row r="2238">
          <cell r="B2238" t="str">
            <v/>
          </cell>
        </row>
        <row r="2239">
          <cell r="B2239" t="str">
            <v/>
          </cell>
        </row>
        <row r="2240">
          <cell r="B2240" t="str">
            <v/>
          </cell>
        </row>
        <row r="2241">
          <cell r="B2241" t="str">
            <v/>
          </cell>
        </row>
        <row r="2242">
          <cell r="B2242" t="str">
            <v/>
          </cell>
        </row>
        <row r="2243">
          <cell r="B2243" t="str">
            <v/>
          </cell>
        </row>
        <row r="2244">
          <cell r="B2244" t="str">
            <v/>
          </cell>
        </row>
        <row r="2245">
          <cell r="B2245" t="str">
            <v/>
          </cell>
        </row>
        <row r="2246">
          <cell r="B2246" t="str">
            <v/>
          </cell>
        </row>
        <row r="2247">
          <cell r="B2247" t="str">
            <v/>
          </cell>
        </row>
        <row r="2248">
          <cell r="B2248" t="str">
            <v/>
          </cell>
        </row>
        <row r="2249">
          <cell r="B2249" t="str">
            <v/>
          </cell>
        </row>
        <row r="2250">
          <cell r="B2250" t="str">
            <v/>
          </cell>
        </row>
        <row r="2251">
          <cell r="B2251" t="str">
            <v/>
          </cell>
        </row>
        <row r="2252">
          <cell r="B2252" t="str">
            <v/>
          </cell>
        </row>
        <row r="2253">
          <cell r="B2253" t="str">
            <v/>
          </cell>
        </row>
        <row r="2254">
          <cell r="B2254" t="str">
            <v/>
          </cell>
        </row>
        <row r="2255">
          <cell r="B2255" t="str">
            <v/>
          </cell>
        </row>
        <row r="2256">
          <cell r="B2256" t="str">
            <v/>
          </cell>
        </row>
        <row r="2257">
          <cell r="B2257" t="str">
            <v/>
          </cell>
        </row>
        <row r="2258">
          <cell r="B2258" t="str">
            <v/>
          </cell>
        </row>
        <row r="2259">
          <cell r="B2259" t="str">
            <v/>
          </cell>
        </row>
        <row r="2260">
          <cell r="B2260" t="str">
            <v/>
          </cell>
        </row>
        <row r="2261">
          <cell r="B2261" t="str">
            <v/>
          </cell>
        </row>
        <row r="2262">
          <cell r="B2262" t="str">
            <v/>
          </cell>
        </row>
        <row r="2263">
          <cell r="B2263" t="str">
            <v/>
          </cell>
        </row>
        <row r="2264">
          <cell r="B2264" t="str">
            <v/>
          </cell>
        </row>
        <row r="2265">
          <cell r="B2265" t="str">
            <v/>
          </cell>
        </row>
        <row r="2266">
          <cell r="B2266" t="str">
            <v/>
          </cell>
        </row>
        <row r="2267">
          <cell r="B2267" t="str">
            <v/>
          </cell>
        </row>
        <row r="2268">
          <cell r="B2268" t="str">
            <v/>
          </cell>
        </row>
        <row r="2269">
          <cell r="B2269" t="str">
            <v/>
          </cell>
        </row>
        <row r="2270">
          <cell r="B2270" t="str">
            <v/>
          </cell>
        </row>
        <row r="2271">
          <cell r="B2271" t="str">
            <v/>
          </cell>
        </row>
        <row r="2272">
          <cell r="B2272" t="str">
            <v/>
          </cell>
        </row>
        <row r="2273">
          <cell r="B2273" t="str">
            <v/>
          </cell>
        </row>
        <row r="2274">
          <cell r="B2274" t="str">
            <v/>
          </cell>
        </row>
        <row r="2275">
          <cell r="B2275" t="str">
            <v/>
          </cell>
        </row>
        <row r="2276">
          <cell r="B2276" t="str">
            <v/>
          </cell>
        </row>
        <row r="2277">
          <cell r="B2277" t="str">
            <v/>
          </cell>
        </row>
        <row r="2278">
          <cell r="B2278" t="str">
            <v/>
          </cell>
        </row>
        <row r="2279">
          <cell r="B2279" t="str">
            <v/>
          </cell>
        </row>
        <row r="2280">
          <cell r="B2280" t="str">
            <v/>
          </cell>
        </row>
        <row r="2281">
          <cell r="B2281" t="str">
            <v/>
          </cell>
        </row>
        <row r="2282">
          <cell r="B2282" t="str">
            <v/>
          </cell>
        </row>
        <row r="2283">
          <cell r="B2283" t="str">
            <v/>
          </cell>
        </row>
        <row r="2284">
          <cell r="B2284" t="str">
            <v/>
          </cell>
        </row>
        <row r="2285">
          <cell r="B2285" t="str">
            <v/>
          </cell>
        </row>
        <row r="2286">
          <cell r="B2286" t="str">
            <v/>
          </cell>
        </row>
        <row r="2287">
          <cell r="B2287" t="str">
            <v/>
          </cell>
        </row>
        <row r="2288">
          <cell r="B2288" t="str">
            <v/>
          </cell>
        </row>
        <row r="2289">
          <cell r="B2289" t="str">
            <v/>
          </cell>
        </row>
        <row r="2290">
          <cell r="B2290" t="str">
            <v/>
          </cell>
        </row>
        <row r="2291">
          <cell r="B2291" t="str">
            <v/>
          </cell>
        </row>
        <row r="2292">
          <cell r="B2292" t="str">
            <v/>
          </cell>
        </row>
        <row r="2293">
          <cell r="B2293" t="str">
            <v/>
          </cell>
        </row>
        <row r="2294">
          <cell r="B2294" t="str">
            <v/>
          </cell>
        </row>
        <row r="2295">
          <cell r="B2295" t="str">
            <v/>
          </cell>
        </row>
        <row r="2296">
          <cell r="B2296" t="str">
            <v/>
          </cell>
        </row>
        <row r="2297">
          <cell r="B2297" t="str">
            <v/>
          </cell>
        </row>
        <row r="2298">
          <cell r="B2298" t="str">
            <v/>
          </cell>
        </row>
        <row r="2299">
          <cell r="B2299" t="str">
            <v/>
          </cell>
        </row>
        <row r="2300">
          <cell r="B2300" t="str">
            <v/>
          </cell>
        </row>
        <row r="2301">
          <cell r="B2301" t="str">
            <v/>
          </cell>
        </row>
        <row r="2302">
          <cell r="B2302" t="str">
            <v/>
          </cell>
        </row>
        <row r="2303">
          <cell r="B2303" t="str">
            <v/>
          </cell>
        </row>
        <row r="2304">
          <cell r="B2304" t="str">
            <v/>
          </cell>
        </row>
        <row r="2305">
          <cell r="B2305" t="str">
            <v/>
          </cell>
        </row>
        <row r="2306">
          <cell r="B2306" t="str">
            <v/>
          </cell>
        </row>
        <row r="2307">
          <cell r="B2307" t="str">
            <v/>
          </cell>
        </row>
        <row r="2308">
          <cell r="B2308" t="str">
            <v/>
          </cell>
        </row>
        <row r="2309">
          <cell r="B2309" t="str">
            <v/>
          </cell>
        </row>
        <row r="2310">
          <cell r="B2310" t="str">
            <v/>
          </cell>
        </row>
        <row r="2311">
          <cell r="B2311" t="str">
            <v/>
          </cell>
        </row>
        <row r="2312">
          <cell r="B2312" t="str">
            <v/>
          </cell>
        </row>
        <row r="2313">
          <cell r="B2313" t="str">
            <v/>
          </cell>
        </row>
        <row r="2314">
          <cell r="B2314" t="str">
            <v/>
          </cell>
        </row>
        <row r="2315">
          <cell r="B2315" t="str">
            <v/>
          </cell>
        </row>
        <row r="2316">
          <cell r="B2316" t="str">
            <v/>
          </cell>
        </row>
        <row r="2317">
          <cell r="B2317" t="str">
            <v/>
          </cell>
        </row>
        <row r="2318">
          <cell r="B2318" t="str">
            <v/>
          </cell>
        </row>
        <row r="2319">
          <cell r="B2319" t="str">
            <v/>
          </cell>
        </row>
        <row r="2320">
          <cell r="B2320" t="str">
            <v/>
          </cell>
        </row>
        <row r="2321">
          <cell r="B2321" t="str">
            <v/>
          </cell>
        </row>
        <row r="2322">
          <cell r="B2322" t="str">
            <v/>
          </cell>
        </row>
        <row r="2323">
          <cell r="B2323" t="str">
            <v/>
          </cell>
        </row>
        <row r="2324">
          <cell r="B2324" t="str">
            <v/>
          </cell>
        </row>
        <row r="2325">
          <cell r="B2325" t="str">
            <v/>
          </cell>
        </row>
        <row r="2326">
          <cell r="B2326" t="str">
            <v/>
          </cell>
        </row>
        <row r="2327">
          <cell r="B2327" t="str">
            <v/>
          </cell>
        </row>
        <row r="2328">
          <cell r="B2328" t="str">
            <v/>
          </cell>
        </row>
        <row r="2329">
          <cell r="B2329" t="str">
            <v/>
          </cell>
        </row>
        <row r="2330">
          <cell r="B2330" t="str">
            <v/>
          </cell>
        </row>
        <row r="2331">
          <cell r="B2331" t="str">
            <v/>
          </cell>
        </row>
        <row r="2332">
          <cell r="B2332" t="str">
            <v/>
          </cell>
        </row>
        <row r="2333">
          <cell r="B2333" t="str">
            <v/>
          </cell>
        </row>
        <row r="2334">
          <cell r="B2334" t="str">
            <v/>
          </cell>
        </row>
        <row r="2335">
          <cell r="B2335" t="str">
            <v/>
          </cell>
        </row>
        <row r="2336">
          <cell r="B2336" t="str">
            <v/>
          </cell>
        </row>
        <row r="2337">
          <cell r="B2337" t="str">
            <v/>
          </cell>
        </row>
        <row r="2338">
          <cell r="B2338" t="str">
            <v/>
          </cell>
        </row>
        <row r="2339">
          <cell r="B2339" t="str">
            <v/>
          </cell>
        </row>
        <row r="2340">
          <cell r="B2340" t="str">
            <v/>
          </cell>
        </row>
        <row r="2341">
          <cell r="B2341" t="str">
            <v/>
          </cell>
        </row>
        <row r="2342">
          <cell r="B2342" t="str">
            <v/>
          </cell>
        </row>
        <row r="2343">
          <cell r="B2343" t="str">
            <v/>
          </cell>
        </row>
        <row r="2344">
          <cell r="B2344" t="str">
            <v/>
          </cell>
        </row>
        <row r="2345">
          <cell r="B2345" t="str">
            <v/>
          </cell>
        </row>
        <row r="2346">
          <cell r="B2346" t="str">
            <v/>
          </cell>
        </row>
        <row r="2347">
          <cell r="B2347" t="str">
            <v/>
          </cell>
        </row>
        <row r="2348">
          <cell r="B2348" t="str">
            <v/>
          </cell>
        </row>
        <row r="2349">
          <cell r="B2349" t="str">
            <v/>
          </cell>
        </row>
        <row r="2350">
          <cell r="B2350" t="str">
            <v/>
          </cell>
        </row>
        <row r="2351">
          <cell r="B2351" t="str">
            <v/>
          </cell>
        </row>
        <row r="2352">
          <cell r="B2352" t="str">
            <v/>
          </cell>
        </row>
        <row r="2353">
          <cell r="B2353" t="str">
            <v/>
          </cell>
        </row>
        <row r="2354">
          <cell r="B2354" t="str">
            <v/>
          </cell>
        </row>
        <row r="2355">
          <cell r="B2355" t="str">
            <v/>
          </cell>
        </row>
        <row r="2356">
          <cell r="B2356" t="str">
            <v/>
          </cell>
        </row>
        <row r="2357">
          <cell r="B2357" t="str">
            <v/>
          </cell>
        </row>
        <row r="2358">
          <cell r="B2358" t="str">
            <v/>
          </cell>
        </row>
        <row r="2359">
          <cell r="B2359" t="str">
            <v/>
          </cell>
        </row>
        <row r="2360">
          <cell r="B2360" t="str">
            <v/>
          </cell>
        </row>
        <row r="2361">
          <cell r="B2361" t="str">
            <v/>
          </cell>
        </row>
        <row r="2362">
          <cell r="B2362" t="str">
            <v/>
          </cell>
        </row>
        <row r="2363">
          <cell r="B2363" t="str">
            <v/>
          </cell>
        </row>
        <row r="2364">
          <cell r="B2364" t="str">
            <v/>
          </cell>
        </row>
        <row r="2365">
          <cell r="B2365" t="str">
            <v/>
          </cell>
        </row>
        <row r="2366">
          <cell r="B2366" t="str">
            <v/>
          </cell>
        </row>
        <row r="2367">
          <cell r="B2367" t="str">
            <v/>
          </cell>
        </row>
        <row r="2368">
          <cell r="B2368" t="str">
            <v/>
          </cell>
        </row>
        <row r="2369">
          <cell r="B2369" t="str">
            <v/>
          </cell>
        </row>
        <row r="2370">
          <cell r="B2370" t="str">
            <v/>
          </cell>
        </row>
        <row r="2371">
          <cell r="B2371" t="str">
            <v/>
          </cell>
        </row>
        <row r="2372">
          <cell r="B2372" t="str">
            <v/>
          </cell>
        </row>
        <row r="2373">
          <cell r="B2373" t="str">
            <v/>
          </cell>
        </row>
        <row r="2374">
          <cell r="B2374" t="str">
            <v/>
          </cell>
        </row>
        <row r="2375">
          <cell r="B2375" t="str">
            <v/>
          </cell>
        </row>
        <row r="2376">
          <cell r="B2376" t="str">
            <v/>
          </cell>
        </row>
        <row r="2377">
          <cell r="B2377" t="str">
            <v/>
          </cell>
        </row>
        <row r="2378">
          <cell r="B2378" t="str">
            <v/>
          </cell>
        </row>
        <row r="2379">
          <cell r="B2379" t="str">
            <v/>
          </cell>
        </row>
        <row r="2380">
          <cell r="B2380" t="str">
            <v/>
          </cell>
        </row>
        <row r="2381">
          <cell r="B2381" t="str">
            <v/>
          </cell>
        </row>
        <row r="2382">
          <cell r="B2382" t="str">
            <v/>
          </cell>
        </row>
        <row r="2383">
          <cell r="B2383" t="str">
            <v/>
          </cell>
        </row>
        <row r="2384">
          <cell r="B2384" t="str">
            <v/>
          </cell>
        </row>
        <row r="2385">
          <cell r="B2385" t="str">
            <v/>
          </cell>
        </row>
        <row r="2386">
          <cell r="B2386" t="str">
            <v/>
          </cell>
        </row>
        <row r="2387">
          <cell r="B2387" t="str">
            <v/>
          </cell>
        </row>
        <row r="2388">
          <cell r="B2388" t="str">
            <v/>
          </cell>
        </row>
        <row r="2389">
          <cell r="B2389" t="str">
            <v/>
          </cell>
        </row>
        <row r="2390">
          <cell r="B2390" t="str">
            <v/>
          </cell>
        </row>
        <row r="2391">
          <cell r="B2391" t="str">
            <v/>
          </cell>
        </row>
        <row r="2392">
          <cell r="B2392" t="str">
            <v/>
          </cell>
        </row>
        <row r="2393">
          <cell r="B2393" t="str">
            <v/>
          </cell>
        </row>
        <row r="2394">
          <cell r="B2394" t="str">
            <v/>
          </cell>
        </row>
        <row r="2395">
          <cell r="B2395" t="str">
            <v/>
          </cell>
        </row>
        <row r="2396">
          <cell r="B2396" t="str">
            <v/>
          </cell>
        </row>
        <row r="2397">
          <cell r="B2397" t="str">
            <v/>
          </cell>
        </row>
        <row r="2398">
          <cell r="B2398" t="str">
            <v/>
          </cell>
        </row>
        <row r="2399">
          <cell r="B2399" t="str">
            <v/>
          </cell>
        </row>
        <row r="2400">
          <cell r="B2400" t="str">
            <v/>
          </cell>
        </row>
        <row r="2401">
          <cell r="B2401" t="str">
            <v/>
          </cell>
        </row>
        <row r="2402">
          <cell r="B2402" t="str">
            <v/>
          </cell>
        </row>
        <row r="2403">
          <cell r="B2403" t="str">
            <v/>
          </cell>
        </row>
        <row r="2404">
          <cell r="B2404" t="str">
            <v/>
          </cell>
        </row>
        <row r="2405">
          <cell r="B2405" t="str">
            <v/>
          </cell>
        </row>
        <row r="2406">
          <cell r="B2406" t="str">
            <v/>
          </cell>
        </row>
        <row r="2407">
          <cell r="B2407" t="str">
            <v/>
          </cell>
        </row>
        <row r="2408">
          <cell r="B2408" t="str">
            <v/>
          </cell>
        </row>
        <row r="2409">
          <cell r="B2409" t="str">
            <v/>
          </cell>
        </row>
        <row r="2410">
          <cell r="B2410" t="str">
            <v/>
          </cell>
        </row>
        <row r="2411">
          <cell r="B2411" t="str">
            <v/>
          </cell>
        </row>
        <row r="2412">
          <cell r="B2412" t="str">
            <v/>
          </cell>
        </row>
        <row r="2413">
          <cell r="B2413" t="str">
            <v/>
          </cell>
        </row>
        <row r="2414">
          <cell r="B2414" t="str">
            <v/>
          </cell>
        </row>
        <row r="2415">
          <cell r="B2415" t="str">
            <v/>
          </cell>
        </row>
        <row r="2416">
          <cell r="B2416" t="str">
            <v/>
          </cell>
        </row>
        <row r="2417">
          <cell r="B2417" t="str">
            <v/>
          </cell>
        </row>
        <row r="2418">
          <cell r="B2418" t="str">
            <v/>
          </cell>
        </row>
        <row r="2419">
          <cell r="B2419" t="str">
            <v/>
          </cell>
        </row>
        <row r="2420">
          <cell r="B2420" t="str">
            <v/>
          </cell>
        </row>
        <row r="2421">
          <cell r="B2421" t="str">
            <v/>
          </cell>
        </row>
        <row r="2422">
          <cell r="B2422" t="str">
            <v/>
          </cell>
        </row>
        <row r="2423">
          <cell r="B2423" t="str">
            <v/>
          </cell>
        </row>
        <row r="2424">
          <cell r="B2424" t="str">
            <v/>
          </cell>
        </row>
        <row r="2425">
          <cell r="B2425" t="str">
            <v/>
          </cell>
        </row>
        <row r="2426">
          <cell r="B2426" t="str">
            <v/>
          </cell>
        </row>
        <row r="2427">
          <cell r="B2427" t="str">
            <v/>
          </cell>
        </row>
        <row r="2428">
          <cell r="B2428" t="str">
            <v/>
          </cell>
        </row>
        <row r="2429">
          <cell r="B2429" t="str">
            <v/>
          </cell>
        </row>
        <row r="2430">
          <cell r="B2430" t="str">
            <v/>
          </cell>
        </row>
        <row r="2431">
          <cell r="B2431" t="str">
            <v/>
          </cell>
        </row>
        <row r="2432">
          <cell r="B2432" t="str">
            <v/>
          </cell>
        </row>
        <row r="2433">
          <cell r="B2433" t="str">
            <v/>
          </cell>
        </row>
        <row r="2434">
          <cell r="B2434" t="str">
            <v/>
          </cell>
        </row>
        <row r="2435">
          <cell r="B2435" t="str">
            <v/>
          </cell>
        </row>
        <row r="2436">
          <cell r="B2436" t="str">
            <v/>
          </cell>
        </row>
        <row r="2437">
          <cell r="B2437" t="str">
            <v/>
          </cell>
        </row>
        <row r="2438">
          <cell r="B2438" t="str">
            <v/>
          </cell>
        </row>
        <row r="2439">
          <cell r="B2439" t="str">
            <v/>
          </cell>
        </row>
        <row r="2440">
          <cell r="B2440" t="str">
            <v/>
          </cell>
        </row>
        <row r="2441">
          <cell r="B2441" t="str">
            <v/>
          </cell>
        </row>
        <row r="2442">
          <cell r="B2442" t="str">
            <v/>
          </cell>
        </row>
        <row r="2443">
          <cell r="B2443" t="str">
            <v/>
          </cell>
        </row>
        <row r="2444">
          <cell r="B2444" t="str">
            <v/>
          </cell>
        </row>
        <row r="2445">
          <cell r="B2445" t="str">
            <v/>
          </cell>
        </row>
        <row r="2446">
          <cell r="B2446" t="str">
            <v/>
          </cell>
        </row>
        <row r="2447">
          <cell r="B2447" t="str">
            <v/>
          </cell>
        </row>
        <row r="2448">
          <cell r="B2448" t="str">
            <v/>
          </cell>
        </row>
        <row r="2449">
          <cell r="B2449" t="str">
            <v/>
          </cell>
        </row>
        <row r="2450">
          <cell r="B2450" t="str">
            <v/>
          </cell>
        </row>
        <row r="2451">
          <cell r="B2451" t="str">
            <v/>
          </cell>
        </row>
        <row r="2452">
          <cell r="B2452" t="str">
            <v/>
          </cell>
        </row>
        <row r="2453">
          <cell r="B2453" t="str">
            <v/>
          </cell>
        </row>
        <row r="2454">
          <cell r="B2454" t="str">
            <v/>
          </cell>
        </row>
        <row r="2455">
          <cell r="B2455" t="str">
            <v/>
          </cell>
        </row>
        <row r="2456">
          <cell r="B2456" t="str">
            <v/>
          </cell>
        </row>
        <row r="2457">
          <cell r="B2457" t="str">
            <v/>
          </cell>
        </row>
        <row r="2458">
          <cell r="B2458" t="str">
            <v/>
          </cell>
        </row>
        <row r="2459">
          <cell r="B2459" t="str">
            <v/>
          </cell>
        </row>
        <row r="2460">
          <cell r="B2460" t="str">
            <v/>
          </cell>
        </row>
        <row r="2461">
          <cell r="B2461" t="str">
            <v/>
          </cell>
        </row>
        <row r="2462">
          <cell r="B2462" t="str">
            <v/>
          </cell>
        </row>
        <row r="2463">
          <cell r="B2463" t="str">
            <v/>
          </cell>
        </row>
        <row r="2464">
          <cell r="B2464" t="str">
            <v/>
          </cell>
        </row>
        <row r="2465">
          <cell r="B2465" t="str">
            <v/>
          </cell>
        </row>
        <row r="2466">
          <cell r="B2466" t="str">
            <v/>
          </cell>
        </row>
        <row r="2467">
          <cell r="B2467" t="str">
            <v/>
          </cell>
        </row>
        <row r="2468">
          <cell r="B2468" t="str">
            <v/>
          </cell>
        </row>
        <row r="2469">
          <cell r="B2469" t="str">
            <v/>
          </cell>
        </row>
        <row r="2470">
          <cell r="B2470" t="str">
            <v/>
          </cell>
        </row>
        <row r="2471">
          <cell r="B2471" t="str">
            <v/>
          </cell>
        </row>
        <row r="2472">
          <cell r="B2472" t="str">
            <v/>
          </cell>
        </row>
        <row r="2473">
          <cell r="B2473" t="str">
            <v/>
          </cell>
        </row>
        <row r="2474">
          <cell r="B2474" t="str">
            <v/>
          </cell>
        </row>
        <row r="2475">
          <cell r="B2475" t="str">
            <v/>
          </cell>
        </row>
        <row r="2476">
          <cell r="B2476" t="str">
            <v/>
          </cell>
        </row>
        <row r="2477">
          <cell r="B2477" t="str">
            <v/>
          </cell>
        </row>
        <row r="2478">
          <cell r="B2478" t="str">
            <v/>
          </cell>
        </row>
        <row r="2479">
          <cell r="B2479" t="str">
            <v/>
          </cell>
        </row>
        <row r="2480">
          <cell r="B2480" t="str">
            <v/>
          </cell>
        </row>
        <row r="2481">
          <cell r="B2481" t="str">
            <v/>
          </cell>
        </row>
        <row r="2482">
          <cell r="B2482" t="str">
            <v/>
          </cell>
        </row>
        <row r="2483">
          <cell r="B2483" t="str">
            <v/>
          </cell>
        </row>
        <row r="2484">
          <cell r="B2484" t="str">
            <v/>
          </cell>
        </row>
        <row r="2485">
          <cell r="B2485" t="str">
            <v/>
          </cell>
        </row>
        <row r="2486">
          <cell r="B2486" t="str">
            <v/>
          </cell>
        </row>
        <row r="2487">
          <cell r="B2487" t="str">
            <v/>
          </cell>
        </row>
        <row r="2488">
          <cell r="B2488" t="str">
            <v/>
          </cell>
        </row>
        <row r="2489">
          <cell r="B2489" t="str">
            <v/>
          </cell>
        </row>
        <row r="2490">
          <cell r="B2490" t="str">
            <v/>
          </cell>
        </row>
        <row r="2491">
          <cell r="B2491" t="str">
            <v/>
          </cell>
        </row>
        <row r="2492">
          <cell r="B2492" t="str">
            <v/>
          </cell>
        </row>
        <row r="2493">
          <cell r="B2493" t="str">
            <v/>
          </cell>
        </row>
        <row r="2494">
          <cell r="B2494" t="str">
            <v/>
          </cell>
        </row>
        <row r="2495">
          <cell r="B2495" t="str">
            <v/>
          </cell>
        </row>
        <row r="2496">
          <cell r="B2496" t="str">
            <v/>
          </cell>
        </row>
        <row r="2497">
          <cell r="B2497" t="str">
            <v/>
          </cell>
        </row>
        <row r="2498">
          <cell r="B2498" t="str">
            <v/>
          </cell>
        </row>
        <row r="2499">
          <cell r="B2499" t="str">
            <v/>
          </cell>
        </row>
        <row r="2500">
          <cell r="B2500" t="str">
            <v/>
          </cell>
        </row>
        <row r="2501">
          <cell r="B2501" t="str">
            <v/>
          </cell>
        </row>
        <row r="2502">
          <cell r="B2502" t="str">
            <v/>
          </cell>
        </row>
        <row r="2503">
          <cell r="B2503" t="str">
            <v/>
          </cell>
        </row>
        <row r="2504">
          <cell r="B2504" t="str">
            <v/>
          </cell>
        </row>
        <row r="2505">
          <cell r="B2505" t="str">
            <v/>
          </cell>
        </row>
        <row r="2506">
          <cell r="B2506" t="str">
            <v/>
          </cell>
        </row>
        <row r="2507">
          <cell r="B2507" t="str">
            <v/>
          </cell>
        </row>
        <row r="2508">
          <cell r="B2508" t="str">
            <v/>
          </cell>
        </row>
        <row r="2509">
          <cell r="B2509" t="str">
            <v/>
          </cell>
        </row>
        <row r="2510">
          <cell r="B2510" t="str">
            <v/>
          </cell>
        </row>
        <row r="2511">
          <cell r="B2511" t="str">
            <v/>
          </cell>
        </row>
        <row r="2512">
          <cell r="B2512" t="str">
            <v/>
          </cell>
        </row>
        <row r="2513">
          <cell r="B2513" t="str">
            <v/>
          </cell>
        </row>
        <row r="2514">
          <cell r="B2514" t="str">
            <v/>
          </cell>
        </row>
        <row r="2515">
          <cell r="B2515" t="str">
            <v/>
          </cell>
        </row>
        <row r="2516">
          <cell r="B2516" t="str">
            <v/>
          </cell>
        </row>
        <row r="2517">
          <cell r="B2517" t="str">
            <v/>
          </cell>
        </row>
        <row r="2518">
          <cell r="B2518" t="str">
            <v/>
          </cell>
        </row>
        <row r="2519">
          <cell r="B2519" t="str">
            <v/>
          </cell>
        </row>
        <row r="2520">
          <cell r="B2520" t="str">
            <v/>
          </cell>
        </row>
        <row r="2521">
          <cell r="B2521" t="str">
            <v/>
          </cell>
        </row>
        <row r="2522">
          <cell r="B2522" t="str">
            <v/>
          </cell>
        </row>
        <row r="2523">
          <cell r="B2523" t="str">
            <v/>
          </cell>
        </row>
        <row r="2524">
          <cell r="B2524" t="str">
            <v/>
          </cell>
        </row>
        <row r="2525">
          <cell r="B2525" t="str">
            <v/>
          </cell>
        </row>
        <row r="2526">
          <cell r="B2526" t="str">
            <v/>
          </cell>
        </row>
        <row r="2527">
          <cell r="B2527" t="str">
            <v/>
          </cell>
        </row>
        <row r="2528">
          <cell r="B2528" t="str">
            <v/>
          </cell>
        </row>
        <row r="2529">
          <cell r="B2529" t="str">
            <v/>
          </cell>
        </row>
        <row r="2530">
          <cell r="B2530" t="str">
            <v/>
          </cell>
        </row>
        <row r="2531">
          <cell r="B2531" t="str">
            <v/>
          </cell>
        </row>
        <row r="2532">
          <cell r="B2532" t="str">
            <v/>
          </cell>
        </row>
        <row r="2533">
          <cell r="B2533" t="str">
            <v/>
          </cell>
        </row>
        <row r="2534">
          <cell r="B2534" t="str">
            <v/>
          </cell>
        </row>
        <row r="2535">
          <cell r="B2535" t="str">
            <v/>
          </cell>
        </row>
        <row r="2536">
          <cell r="B2536" t="str">
            <v/>
          </cell>
        </row>
        <row r="2537">
          <cell r="B2537" t="str">
            <v/>
          </cell>
        </row>
        <row r="2538">
          <cell r="B2538" t="str">
            <v/>
          </cell>
        </row>
        <row r="2539">
          <cell r="B2539" t="str">
            <v/>
          </cell>
        </row>
        <row r="2540">
          <cell r="B2540" t="str">
            <v/>
          </cell>
        </row>
        <row r="2541">
          <cell r="B2541" t="str">
            <v/>
          </cell>
        </row>
        <row r="2542">
          <cell r="B2542" t="str">
            <v/>
          </cell>
        </row>
        <row r="2543">
          <cell r="B2543" t="str">
            <v/>
          </cell>
        </row>
        <row r="2544">
          <cell r="B2544" t="str">
            <v/>
          </cell>
        </row>
        <row r="2545">
          <cell r="B2545" t="str">
            <v/>
          </cell>
        </row>
        <row r="2546">
          <cell r="B2546" t="str">
            <v/>
          </cell>
        </row>
        <row r="2547">
          <cell r="B2547" t="str">
            <v/>
          </cell>
        </row>
        <row r="2548">
          <cell r="B2548" t="str">
            <v/>
          </cell>
        </row>
        <row r="2549">
          <cell r="B2549" t="str">
            <v/>
          </cell>
        </row>
        <row r="2550">
          <cell r="B2550" t="str">
            <v/>
          </cell>
        </row>
        <row r="2551">
          <cell r="B2551" t="str">
            <v/>
          </cell>
        </row>
        <row r="2552">
          <cell r="B2552" t="str">
            <v/>
          </cell>
        </row>
        <row r="2553">
          <cell r="B2553" t="str">
            <v/>
          </cell>
        </row>
        <row r="2554">
          <cell r="B2554" t="str">
            <v/>
          </cell>
        </row>
        <row r="2555">
          <cell r="B2555" t="str">
            <v/>
          </cell>
        </row>
        <row r="2556">
          <cell r="B2556" t="str">
            <v/>
          </cell>
        </row>
        <row r="2557">
          <cell r="B2557" t="str">
            <v/>
          </cell>
        </row>
        <row r="2558">
          <cell r="B2558" t="str">
            <v/>
          </cell>
        </row>
        <row r="2559">
          <cell r="B2559" t="str">
            <v/>
          </cell>
        </row>
        <row r="2560">
          <cell r="B2560" t="str">
            <v/>
          </cell>
        </row>
        <row r="2561">
          <cell r="B2561" t="str">
            <v/>
          </cell>
        </row>
        <row r="2562">
          <cell r="B2562" t="str">
            <v/>
          </cell>
        </row>
        <row r="2563">
          <cell r="B2563" t="str">
            <v/>
          </cell>
        </row>
        <row r="2564">
          <cell r="B2564" t="str">
            <v/>
          </cell>
        </row>
        <row r="2565">
          <cell r="B2565" t="str">
            <v/>
          </cell>
        </row>
        <row r="2566">
          <cell r="B2566" t="str">
            <v/>
          </cell>
        </row>
        <row r="2567">
          <cell r="B2567" t="str">
            <v/>
          </cell>
        </row>
        <row r="2568">
          <cell r="B2568" t="str">
            <v/>
          </cell>
        </row>
        <row r="2569">
          <cell r="B2569" t="str">
            <v/>
          </cell>
        </row>
        <row r="2570">
          <cell r="B2570" t="str">
            <v/>
          </cell>
        </row>
        <row r="2571">
          <cell r="B2571" t="str">
            <v/>
          </cell>
        </row>
        <row r="2572">
          <cell r="B2572" t="str">
            <v/>
          </cell>
        </row>
        <row r="2573">
          <cell r="B2573" t="str">
            <v/>
          </cell>
        </row>
        <row r="2574">
          <cell r="B2574" t="str">
            <v/>
          </cell>
        </row>
        <row r="2575">
          <cell r="B2575" t="str">
            <v/>
          </cell>
        </row>
        <row r="2576">
          <cell r="B2576" t="str">
            <v/>
          </cell>
        </row>
        <row r="2577">
          <cell r="B2577" t="str">
            <v/>
          </cell>
        </row>
        <row r="2578">
          <cell r="B2578" t="str">
            <v/>
          </cell>
        </row>
        <row r="2579">
          <cell r="B2579" t="str">
            <v/>
          </cell>
        </row>
        <row r="2580">
          <cell r="B2580" t="str">
            <v/>
          </cell>
        </row>
        <row r="2581">
          <cell r="B2581" t="str">
            <v/>
          </cell>
        </row>
        <row r="2582">
          <cell r="B2582" t="str">
            <v/>
          </cell>
        </row>
        <row r="2583">
          <cell r="B2583" t="str">
            <v/>
          </cell>
        </row>
        <row r="2584">
          <cell r="B2584" t="str">
            <v/>
          </cell>
        </row>
        <row r="2585">
          <cell r="B2585" t="str">
            <v/>
          </cell>
        </row>
        <row r="2586">
          <cell r="B2586" t="str">
            <v/>
          </cell>
        </row>
        <row r="2587">
          <cell r="B2587" t="str">
            <v/>
          </cell>
        </row>
        <row r="2588">
          <cell r="B2588" t="str">
            <v/>
          </cell>
        </row>
        <row r="2589">
          <cell r="B2589" t="str">
            <v/>
          </cell>
        </row>
        <row r="2590">
          <cell r="B2590" t="str">
            <v/>
          </cell>
        </row>
        <row r="2591">
          <cell r="B2591" t="str">
            <v/>
          </cell>
        </row>
        <row r="2592">
          <cell r="B2592" t="str">
            <v/>
          </cell>
        </row>
        <row r="2593">
          <cell r="B2593" t="str">
            <v/>
          </cell>
        </row>
        <row r="2594">
          <cell r="B2594" t="str">
            <v/>
          </cell>
        </row>
        <row r="2595">
          <cell r="B2595" t="str">
            <v/>
          </cell>
        </row>
        <row r="2596">
          <cell r="B2596" t="str">
            <v/>
          </cell>
        </row>
        <row r="2597">
          <cell r="B2597" t="str">
            <v/>
          </cell>
        </row>
        <row r="2598">
          <cell r="B2598" t="str">
            <v/>
          </cell>
        </row>
        <row r="2599">
          <cell r="B2599" t="str">
            <v/>
          </cell>
        </row>
        <row r="2600">
          <cell r="B2600" t="str">
            <v/>
          </cell>
        </row>
        <row r="2601">
          <cell r="B2601" t="str">
            <v/>
          </cell>
        </row>
        <row r="2602">
          <cell r="B2602" t="str">
            <v/>
          </cell>
        </row>
        <row r="2603">
          <cell r="B2603" t="str">
            <v/>
          </cell>
        </row>
        <row r="2604">
          <cell r="B2604" t="str">
            <v/>
          </cell>
        </row>
        <row r="2605">
          <cell r="B2605" t="str">
            <v/>
          </cell>
        </row>
        <row r="2606">
          <cell r="B2606" t="str">
            <v/>
          </cell>
        </row>
        <row r="2607">
          <cell r="B2607" t="str">
            <v/>
          </cell>
        </row>
        <row r="2608">
          <cell r="B2608" t="str">
            <v/>
          </cell>
        </row>
        <row r="2609">
          <cell r="B2609" t="str">
            <v/>
          </cell>
        </row>
        <row r="2610">
          <cell r="B2610" t="str">
            <v/>
          </cell>
        </row>
        <row r="2611">
          <cell r="B2611" t="str">
            <v/>
          </cell>
        </row>
        <row r="2612">
          <cell r="B2612" t="str">
            <v/>
          </cell>
        </row>
        <row r="2613">
          <cell r="B2613" t="str">
            <v/>
          </cell>
        </row>
        <row r="2614">
          <cell r="B2614" t="str">
            <v/>
          </cell>
        </row>
        <row r="2615">
          <cell r="B2615" t="str">
            <v/>
          </cell>
        </row>
        <row r="2616">
          <cell r="B2616" t="str">
            <v/>
          </cell>
        </row>
        <row r="2617">
          <cell r="B2617" t="str">
            <v/>
          </cell>
        </row>
        <row r="2618">
          <cell r="B2618" t="str">
            <v/>
          </cell>
        </row>
        <row r="2619">
          <cell r="B2619" t="str">
            <v/>
          </cell>
        </row>
        <row r="2620">
          <cell r="B2620" t="str">
            <v/>
          </cell>
        </row>
        <row r="2621">
          <cell r="B2621" t="str">
            <v/>
          </cell>
        </row>
        <row r="2622">
          <cell r="B2622" t="str">
            <v/>
          </cell>
        </row>
        <row r="2623">
          <cell r="B2623" t="str">
            <v/>
          </cell>
        </row>
        <row r="2624">
          <cell r="B2624" t="str">
            <v/>
          </cell>
        </row>
        <row r="2625">
          <cell r="B2625" t="str">
            <v/>
          </cell>
        </row>
        <row r="2626">
          <cell r="B2626" t="str">
            <v/>
          </cell>
        </row>
        <row r="2627">
          <cell r="B2627" t="str">
            <v/>
          </cell>
        </row>
        <row r="2628">
          <cell r="B2628" t="str">
            <v/>
          </cell>
        </row>
        <row r="2629">
          <cell r="B2629" t="str">
            <v/>
          </cell>
        </row>
        <row r="2630">
          <cell r="B2630" t="str">
            <v/>
          </cell>
        </row>
        <row r="2631">
          <cell r="B2631" t="str">
            <v/>
          </cell>
        </row>
        <row r="2632">
          <cell r="B2632" t="str">
            <v/>
          </cell>
        </row>
        <row r="2633">
          <cell r="B2633" t="str">
            <v/>
          </cell>
        </row>
        <row r="2634">
          <cell r="B2634" t="str">
            <v/>
          </cell>
        </row>
        <row r="2635">
          <cell r="B2635" t="str">
            <v/>
          </cell>
        </row>
        <row r="2636">
          <cell r="B2636" t="str">
            <v/>
          </cell>
        </row>
        <row r="2637">
          <cell r="B2637" t="str">
            <v/>
          </cell>
        </row>
        <row r="2638">
          <cell r="B2638" t="str">
            <v/>
          </cell>
        </row>
        <row r="2639">
          <cell r="B2639" t="str">
            <v/>
          </cell>
        </row>
        <row r="2640">
          <cell r="B2640" t="str">
            <v/>
          </cell>
        </row>
        <row r="2641">
          <cell r="B2641" t="str">
            <v/>
          </cell>
        </row>
        <row r="2642">
          <cell r="B2642" t="str">
            <v/>
          </cell>
        </row>
        <row r="2643">
          <cell r="B2643" t="str">
            <v/>
          </cell>
        </row>
        <row r="2644">
          <cell r="B2644" t="str">
            <v/>
          </cell>
        </row>
        <row r="2645">
          <cell r="B2645" t="str">
            <v/>
          </cell>
        </row>
        <row r="2646">
          <cell r="B2646" t="str">
            <v/>
          </cell>
        </row>
        <row r="2647">
          <cell r="B2647" t="str">
            <v/>
          </cell>
        </row>
        <row r="2648">
          <cell r="B2648" t="str">
            <v/>
          </cell>
        </row>
        <row r="2649">
          <cell r="B2649" t="str">
            <v/>
          </cell>
        </row>
        <row r="2650">
          <cell r="B2650" t="str">
            <v/>
          </cell>
        </row>
        <row r="2651">
          <cell r="B2651" t="str">
            <v/>
          </cell>
        </row>
        <row r="2652">
          <cell r="B2652" t="str">
            <v/>
          </cell>
        </row>
        <row r="2653">
          <cell r="B2653" t="str">
            <v/>
          </cell>
        </row>
        <row r="2654">
          <cell r="B2654" t="str">
            <v/>
          </cell>
        </row>
        <row r="2655">
          <cell r="B2655" t="str">
            <v/>
          </cell>
        </row>
        <row r="2656">
          <cell r="B2656" t="str">
            <v/>
          </cell>
        </row>
        <row r="2657">
          <cell r="B2657" t="str">
            <v/>
          </cell>
        </row>
        <row r="2658">
          <cell r="B2658" t="str">
            <v/>
          </cell>
        </row>
        <row r="2659">
          <cell r="B2659" t="str">
            <v/>
          </cell>
        </row>
        <row r="2660">
          <cell r="B2660" t="str">
            <v/>
          </cell>
        </row>
        <row r="2661">
          <cell r="B2661" t="str">
            <v/>
          </cell>
        </row>
        <row r="2662">
          <cell r="B2662" t="str">
            <v/>
          </cell>
        </row>
        <row r="2663">
          <cell r="B2663" t="str">
            <v/>
          </cell>
        </row>
        <row r="2664">
          <cell r="B2664" t="str">
            <v/>
          </cell>
        </row>
        <row r="2665">
          <cell r="B2665" t="str">
            <v/>
          </cell>
        </row>
        <row r="2666">
          <cell r="B2666" t="str">
            <v/>
          </cell>
        </row>
        <row r="2667">
          <cell r="B2667" t="str">
            <v/>
          </cell>
        </row>
        <row r="2668">
          <cell r="B2668" t="str">
            <v/>
          </cell>
        </row>
        <row r="2669">
          <cell r="B2669" t="str">
            <v/>
          </cell>
        </row>
        <row r="2670">
          <cell r="B2670" t="str">
            <v/>
          </cell>
        </row>
        <row r="2671">
          <cell r="B2671" t="str">
            <v/>
          </cell>
        </row>
        <row r="2672">
          <cell r="B2672" t="str">
            <v/>
          </cell>
        </row>
        <row r="2673">
          <cell r="B2673" t="str">
            <v/>
          </cell>
        </row>
        <row r="2674">
          <cell r="B2674" t="str">
            <v/>
          </cell>
        </row>
        <row r="2675">
          <cell r="B2675" t="str">
            <v/>
          </cell>
        </row>
        <row r="2676">
          <cell r="B2676" t="str">
            <v/>
          </cell>
        </row>
        <row r="2677">
          <cell r="B2677" t="str">
            <v/>
          </cell>
        </row>
        <row r="2678">
          <cell r="B2678" t="str">
            <v/>
          </cell>
        </row>
        <row r="2679">
          <cell r="B2679" t="str">
            <v/>
          </cell>
        </row>
        <row r="2680">
          <cell r="B2680" t="str">
            <v/>
          </cell>
        </row>
        <row r="2681">
          <cell r="B2681" t="str">
            <v/>
          </cell>
        </row>
        <row r="2682">
          <cell r="B2682" t="str">
            <v/>
          </cell>
        </row>
        <row r="2683">
          <cell r="B2683" t="str">
            <v/>
          </cell>
        </row>
        <row r="2684">
          <cell r="B2684" t="str">
            <v/>
          </cell>
        </row>
        <row r="2685">
          <cell r="B2685" t="str">
            <v/>
          </cell>
        </row>
        <row r="2686">
          <cell r="B2686" t="str">
            <v/>
          </cell>
        </row>
        <row r="2687">
          <cell r="B2687" t="str">
            <v/>
          </cell>
        </row>
        <row r="2688">
          <cell r="B2688" t="str">
            <v/>
          </cell>
        </row>
        <row r="2689">
          <cell r="B2689" t="str">
            <v/>
          </cell>
        </row>
        <row r="2690">
          <cell r="B2690" t="str">
            <v/>
          </cell>
        </row>
        <row r="2691">
          <cell r="B2691" t="str">
            <v/>
          </cell>
        </row>
        <row r="2692">
          <cell r="B2692" t="str">
            <v/>
          </cell>
        </row>
        <row r="2693">
          <cell r="B2693" t="str">
            <v/>
          </cell>
        </row>
        <row r="2694">
          <cell r="B2694" t="str">
            <v/>
          </cell>
        </row>
        <row r="2695">
          <cell r="B2695" t="str">
            <v/>
          </cell>
        </row>
        <row r="2696">
          <cell r="B2696" t="str">
            <v/>
          </cell>
        </row>
        <row r="2697">
          <cell r="B2697" t="str">
            <v/>
          </cell>
        </row>
        <row r="2698">
          <cell r="B2698" t="str">
            <v/>
          </cell>
        </row>
        <row r="2699">
          <cell r="B2699" t="str">
            <v/>
          </cell>
        </row>
        <row r="2700">
          <cell r="B2700" t="str">
            <v/>
          </cell>
        </row>
        <row r="2701">
          <cell r="B2701" t="str">
            <v/>
          </cell>
        </row>
        <row r="2702">
          <cell r="B2702" t="str">
            <v/>
          </cell>
        </row>
        <row r="2703">
          <cell r="B2703" t="str">
            <v/>
          </cell>
        </row>
        <row r="2704">
          <cell r="B2704" t="str">
            <v/>
          </cell>
        </row>
        <row r="2705">
          <cell r="B2705" t="str">
            <v/>
          </cell>
        </row>
        <row r="2706">
          <cell r="B2706" t="str">
            <v/>
          </cell>
        </row>
        <row r="2707">
          <cell r="B2707" t="str">
            <v/>
          </cell>
        </row>
        <row r="2708">
          <cell r="B2708" t="str">
            <v/>
          </cell>
        </row>
        <row r="2709">
          <cell r="B2709" t="str">
            <v/>
          </cell>
        </row>
        <row r="2710">
          <cell r="B2710" t="str">
            <v/>
          </cell>
        </row>
        <row r="2711">
          <cell r="B2711" t="str">
            <v/>
          </cell>
        </row>
        <row r="2712">
          <cell r="B2712" t="str">
            <v/>
          </cell>
        </row>
        <row r="2713">
          <cell r="B2713" t="str">
            <v/>
          </cell>
        </row>
        <row r="2714">
          <cell r="B2714" t="str">
            <v/>
          </cell>
        </row>
        <row r="2715">
          <cell r="B2715" t="str">
            <v/>
          </cell>
        </row>
        <row r="2716">
          <cell r="B2716" t="str">
            <v/>
          </cell>
        </row>
        <row r="2717">
          <cell r="B2717" t="str">
            <v/>
          </cell>
        </row>
        <row r="2718">
          <cell r="B2718" t="str">
            <v/>
          </cell>
        </row>
        <row r="2719">
          <cell r="B2719" t="str">
            <v/>
          </cell>
        </row>
        <row r="2720">
          <cell r="B2720" t="str">
            <v/>
          </cell>
        </row>
        <row r="2721">
          <cell r="B2721" t="str">
            <v/>
          </cell>
        </row>
        <row r="2722">
          <cell r="B2722" t="str">
            <v/>
          </cell>
        </row>
        <row r="2723">
          <cell r="B2723" t="str">
            <v/>
          </cell>
        </row>
        <row r="2724">
          <cell r="B2724" t="str">
            <v/>
          </cell>
        </row>
        <row r="2725">
          <cell r="B2725" t="str">
            <v/>
          </cell>
        </row>
        <row r="2726">
          <cell r="B2726" t="str">
            <v/>
          </cell>
        </row>
        <row r="2727">
          <cell r="B2727" t="str">
            <v/>
          </cell>
        </row>
        <row r="2728">
          <cell r="B2728" t="str">
            <v/>
          </cell>
        </row>
        <row r="2729">
          <cell r="B2729" t="str">
            <v/>
          </cell>
        </row>
        <row r="2730">
          <cell r="B2730" t="str">
            <v/>
          </cell>
        </row>
        <row r="2731">
          <cell r="B2731" t="str">
            <v/>
          </cell>
        </row>
        <row r="2732">
          <cell r="B2732" t="str">
            <v/>
          </cell>
        </row>
        <row r="2733">
          <cell r="B2733" t="str">
            <v/>
          </cell>
        </row>
        <row r="2734">
          <cell r="B2734" t="str">
            <v/>
          </cell>
        </row>
        <row r="2735">
          <cell r="B2735" t="str">
            <v/>
          </cell>
        </row>
        <row r="2736">
          <cell r="B2736" t="str">
            <v/>
          </cell>
        </row>
        <row r="2737">
          <cell r="B2737" t="str">
            <v/>
          </cell>
        </row>
        <row r="2738">
          <cell r="B2738" t="str">
            <v/>
          </cell>
        </row>
        <row r="2739">
          <cell r="B2739" t="str">
            <v/>
          </cell>
        </row>
        <row r="2740">
          <cell r="B2740" t="str">
            <v/>
          </cell>
        </row>
        <row r="2741">
          <cell r="B2741" t="str">
            <v/>
          </cell>
        </row>
        <row r="2742">
          <cell r="B2742" t="str">
            <v/>
          </cell>
        </row>
        <row r="2743">
          <cell r="B2743" t="str">
            <v/>
          </cell>
        </row>
        <row r="2744">
          <cell r="B2744" t="str">
            <v/>
          </cell>
        </row>
        <row r="2745">
          <cell r="B2745" t="str">
            <v/>
          </cell>
        </row>
        <row r="2746">
          <cell r="B2746" t="str">
            <v/>
          </cell>
        </row>
        <row r="2747">
          <cell r="B2747" t="str">
            <v/>
          </cell>
        </row>
        <row r="2748">
          <cell r="B2748" t="str">
            <v/>
          </cell>
        </row>
        <row r="2749">
          <cell r="B2749" t="str">
            <v/>
          </cell>
        </row>
        <row r="2750">
          <cell r="B2750" t="str">
            <v/>
          </cell>
        </row>
        <row r="2751">
          <cell r="B2751" t="str">
            <v/>
          </cell>
        </row>
        <row r="2752">
          <cell r="B2752" t="str">
            <v/>
          </cell>
        </row>
        <row r="2753">
          <cell r="B2753" t="str">
            <v/>
          </cell>
        </row>
        <row r="2754">
          <cell r="B2754" t="str">
            <v/>
          </cell>
        </row>
        <row r="2755">
          <cell r="B2755" t="str">
            <v/>
          </cell>
        </row>
        <row r="2756">
          <cell r="B2756" t="str">
            <v/>
          </cell>
        </row>
        <row r="2757">
          <cell r="B2757" t="str">
            <v/>
          </cell>
        </row>
        <row r="2758">
          <cell r="B2758" t="str">
            <v/>
          </cell>
        </row>
        <row r="2759">
          <cell r="B2759" t="str">
            <v/>
          </cell>
        </row>
        <row r="2760">
          <cell r="B2760" t="str">
            <v/>
          </cell>
        </row>
        <row r="2761">
          <cell r="B2761" t="str">
            <v/>
          </cell>
        </row>
        <row r="2762">
          <cell r="B2762" t="str">
            <v/>
          </cell>
        </row>
        <row r="2763">
          <cell r="B2763" t="str">
            <v/>
          </cell>
        </row>
        <row r="2764">
          <cell r="B2764" t="str">
            <v/>
          </cell>
        </row>
        <row r="2765">
          <cell r="B2765" t="str">
            <v/>
          </cell>
        </row>
        <row r="2766">
          <cell r="B2766" t="str">
            <v/>
          </cell>
        </row>
        <row r="2767">
          <cell r="B2767" t="str">
            <v/>
          </cell>
        </row>
        <row r="2768">
          <cell r="B2768" t="str">
            <v/>
          </cell>
        </row>
        <row r="2769">
          <cell r="B2769" t="str">
            <v/>
          </cell>
        </row>
        <row r="2770">
          <cell r="B2770" t="str">
            <v/>
          </cell>
        </row>
        <row r="2771">
          <cell r="B2771" t="str">
            <v/>
          </cell>
        </row>
        <row r="2772">
          <cell r="B2772" t="str">
            <v/>
          </cell>
        </row>
        <row r="2773">
          <cell r="B2773" t="str">
            <v/>
          </cell>
        </row>
        <row r="2774">
          <cell r="B2774" t="str">
            <v/>
          </cell>
        </row>
        <row r="2775">
          <cell r="B2775" t="str">
            <v/>
          </cell>
        </row>
        <row r="2776">
          <cell r="B2776" t="str">
            <v/>
          </cell>
        </row>
        <row r="2777">
          <cell r="B2777" t="str">
            <v/>
          </cell>
        </row>
        <row r="2778">
          <cell r="B2778" t="str">
            <v/>
          </cell>
        </row>
        <row r="2779">
          <cell r="B2779" t="str">
            <v/>
          </cell>
        </row>
        <row r="2780">
          <cell r="B2780" t="str">
            <v/>
          </cell>
        </row>
        <row r="2781">
          <cell r="B2781" t="str">
            <v/>
          </cell>
        </row>
        <row r="2782">
          <cell r="B2782" t="str">
            <v/>
          </cell>
        </row>
        <row r="2783">
          <cell r="B2783" t="str">
            <v/>
          </cell>
        </row>
        <row r="2784">
          <cell r="B2784" t="str">
            <v/>
          </cell>
        </row>
        <row r="2785">
          <cell r="B2785" t="str">
            <v/>
          </cell>
        </row>
        <row r="2786">
          <cell r="B2786" t="str">
            <v/>
          </cell>
        </row>
        <row r="2787">
          <cell r="B2787" t="str">
            <v/>
          </cell>
        </row>
        <row r="2788">
          <cell r="B2788" t="str">
            <v/>
          </cell>
        </row>
        <row r="2789">
          <cell r="B2789" t="str">
            <v/>
          </cell>
        </row>
        <row r="2790">
          <cell r="B2790" t="str">
            <v/>
          </cell>
        </row>
        <row r="2791">
          <cell r="B2791" t="str">
            <v/>
          </cell>
        </row>
        <row r="2792">
          <cell r="B2792" t="str">
            <v/>
          </cell>
        </row>
        <row r="2793">
          <cell r="B2793" t="str">
            <v/>
          </cell>
        </row>
        <row r="2794">
          <cell r="B2794" t="str">
            <v/>
          </cell>
        </row>
        <row r="2795">
          <cell r="B2795" t="str">
            <v/>
          </cell>
        </row>
        <row r="2796">
          <cell r="B2796" t="str">
            <v/>
          </cell>
        </row>
        <row r="2797">
          <cell r="B2797" t="str">
            <v/>
          </cell>
        </row>
        <row r="2798">
          <cell r="B2798" t="str">
            <v/>
          </cell>
        </row>
        <row r="2799">
          <cell r="B2799" t="str">
            <v/>
          </cell>
        </row>
        <row r="2800">
          <cell r="B2800" t="str">
            <v/>
          </cell>
        </row>
        <row r="2801">
          <cell r="B2801" t="str">
            <v/>
          </cell>
        </row>
        <row r="2802">
          <cell r="B2802" t="str">
            <v/>
          </cell>
        </row>
        <row r="2803">
          <cell r="B2803" t="str">
            <v/>
          </cell>
        </row>
        <row r="2804">
          <cell r="B2804" t="str">
            <v/>
          </cell>
        </row>
        <row r="2805">
          <cell r="B2805" t="str">
            <v/>
          </cell>
        </row>
        <row r="2806">
          <cell r="B2806" t="str">
            <v/>
          </cell>
        </row>
        <row r="2807">
          <cell r="B2807" t="str">
            <v/>
          </cell>
        </row>
        <row r="2808">
          <cell r="B2808" t="str">
            <v/>
          </cell>
        </row>
        <row r="2809">
          <cell r="B2809" t="str">
            <v/>
          </cell>
        </row>
        <row r="2810">
          <cell r="B2810" t="str">
            <v/>
          </cell>
        </row>
        <row r="2811">
          <cell r="B2811" t="str">
            <v/>
          </cell>
        </row>
        <row r="2812">
          <cell r="B2812" t="str">
            <v/>
          </cell>
        </row>
        <row r="2813">
          <cell r="B2813" t="str">
            <v/>
          </cell>
        </row>
        <row r="2814">
          <cell r="B2814" t="str">
            <v/>
          </cell>
        </row>
        <row r="2815">
          <cell r="B2815" t="str">
            <v/>
          </cell>
        </row>
        <row r="2816">
          <cell r="B2816" t="str">
            <v/>
          </cell>
        </row>
        <row r="2817">
          <cell r="B2817" t="str">
            <v/>
          </cell>
        </row>
        <row r="2818">
          <cell r="B2818" t="str">
            <v/>
          </cell>
        </row>
        <row r="2819">
          <cell r="B2819" t="str">
            <v/>
          </cell>
        </row>
        <row r="2820">
          <cell r="B2820" t="str">
            <v/>
          </cell>
        </row>
        <row r="2821">
          <cell r="B2821" t="str">
            <v/>
          </cell>
        </row>
        <row r="2822">
          <cell r="B2822" t="str">
            <v/>
          </cell>
        </row>
        <row r="2823">
          <cell r="B2823" t="str">
            <v/>
          </cell>
        </row>
        <row r="2824">
          <cell r="B2824" t="str">
            <v/>
          </cell>
        </row>
        <row r="2825">
          <cell r="B2825" t="str">
            <v/>
          </cell>
        </row>
        <row r="2826">
          <cell r="B2826" t="str">
            <v/>
          </cell>
        </row>
        <row r="2827">
          <cell r="B2827" t="str">
            <v/>
          </cell>
        </row>
        <row r="2828">
          <cell r="B2828" t="str">
            <v/>
          </cell>
        </row>
        <row r="2829">
          <cell r="B2829" t="str">
            <v/>
          </cell>
        </row>
        <row r="2830">
          <cell r="B2830" t="str">
            <v/>
          </cell>
        </row>
        <row r="2831">
          <cell r="B2831" t="str">
            <v/>
          </cell>
        </row>
        <row r="2832">
          <cell r="B2832" t="str">
            <v/>
          </cell>
        </row>
        <row r="2833">
          <cell r="B2833" t="str">
            <v/>
          </cell>
        </row>
        <row r="2834">
          <cell r="B2834" t="str">
            <v/>
          </cell>
        </row>
        <row r="2835">
          <cell r="B2835" t="str">
            <v/>
          </cell>
        </row>
        <row r="2836">
          <cell r="B2836" t="str">
            <v/>
          </cell>
        </row>
        <row r="2837">
          <cell r="B2837" t="str">
            <v/>
          </cell>
        </row>
        <row r="2838">
          <cell r="B2838" t="str">
            <v/>
          </cell>
        </row>
        <row r="2839">
          <cell r="B2839" t="str">
            <v/>
          </cell>
        </row>
        <row r="2840">
          <cell r="B2840" t="str">
            <v/>
          </cell>
        </row>
        <row r="2841">
          <cell r="B2841" t="str">
            <v/>
          </cell>
        </row>
        <row r="2842">
          <cell r="B2842" t="str">
            <v/>
          </cell>
        </row>
        <row r="2843">
          <cell r="B2843" t="str">
            <v/>
          </cell>
        </row>
        <row r="2844">
          <cell r="B2844" t="str">
            <v/>
          </cell>
        </row>
        <row r="2845">
          <cell r="B2845" t="str">
            <v/>
          </cell>
        </row>
        <row r="2846">
          <cell r="B2846" t="str">
            <v/>
          </cell>
        </row>
        <row r="2847">
          <cell r="B2847" t="str">
            <v/>
          </cell>
        </row>
        <row r="2848">
          <cell r="B2848" t="str">
            <v/>
          </cell>
        </row>
        <row r="2849">
          <cell r="B2849" t="str">
            <v/>
          </cell>
        </row>
        <row r="2850">
          <cell r="B2850" t="str">
            <v/>
          </cell>
        </row>
        <row r="2851">
          <cell r="B2851" t="str">
            <v/>
          </cell>
        </row>
        <row r="2852">
          <cell r="B2852" t="str">
            <v/>
          </cell>
        </row>
        <row r="2853">
          <cell r="B2853" t="str">
            <v/>
          </cell>
        </row>
        <row r="2854">
          <cell r="B2854" t="str">
            <v/>
          </cell>
        </row>
        <row r="2855">
          <cell r="B2855" t="str">
            <v/>
          </cell>
        </row>
        <row r="2856">
          <cell r="B2856" t="str">
            <v/>
          </cell>
        </row>
        <row r="2857">
          <cell r="B2857" t="str">
            <v/>
          </cell>
        </row>
        <row r="2858">
          <cell r="B2858" t="str">
            <v/>
          </cell>
        </row>
        <row r="2859">
          <cell r="B2859" t="str">
            <v/>
          </cell>
        </row>
        <row r="2860">
          <cell r="B2860" t="str">
            <v/>
          </cell>
        </row>
        <row r="2861">
          <cell r="B2861" t="str">
            <v/>
          </cell>
        </row>
        <row r="2862">
          <cell r="B2862" t="str">
            <v/>
          </cell>
        </row>
        <row r="2863">
          <cell r="B2863" t="str">
            <v/>
          </cell>
        </row>
        <row r="2864">
          <cell r="B2864" t="str">
            <v/>
          </cell>
        </row>
        <row r="2865">
          <cell r="B2865" t="str">
            <v/>
          </cell>
        </row>
        <row r="2866">
          <cell r="B2866" t="str">
            <v/>
          </cell>
        </row>
        <row r="2867">
          <cell r="B2867" t="str">
            <v/>
          </cell>
        </row>
        <row r="2868">
          <cell r="B2868" t="str">
            <v/>
          </cell>
        </row>
        <row r="2869">
          <cell r="B2869" t="str">
            <v/>
          </cell>
        </row>
        <row r="2870">
          <cell r="B2870" t="str">
            <v/>
          </cell>
        </row>
        <row r="2871">
          <cell r="B2871" t="str">
            <v/>
          </cell>
        </row>
        <row r="2872">
          <cell r="B2872" t="str">
            <v/>
          </cell>
        </row>
        <row r="2873">
          <cell r="B2873" t="str">
            <v/>
          </cell>
        </row>
        <row r="2874">
          <cell r="B2874" t="str">
            <v/>
          </cell>
        </row>
        <row r="2875">
          <cell r="B2875" t="str">
            <v/>
          </cell>
        </row>
        <row r="2876">
          <cell r="B2876" t="str">
            <v/>
          </cell>
        </row>
        <row r="2877">
          <cell r="B2877" t="str">
            <v/>
          </cell>
        </row>
        <row r="2878">
          <cell r="B2878" t="str">
            <v/>
          </cell>
        </row>
        <row r="2879">
          <cell r="B2879" t="str">
            <v/>
          </cell>
        </row>
        <row r="2880">
          <cell r="B2880" t="str">
            <v/>
          </cell>
        </row>
        <row r="2881">
          <cell r="B2881" t="str">
            <v/>
          </cell>
        </row>
        <row r="2882">
          <cell r="B2882" t="str">
            <v/>
          </cell>
        </row>
        <row r="2883">
          <cell r="B2883" t="str">
            <v/>
          </cell>
        </row>
        <row r="2884">
          <cell r="B2884" t="str">
            <v/>
          </cell>
        </row>
        <row r="2885">
          <cell r="B2885" t="str">
            <v/>
          </cell>
        </row>
        <row r="2886">
          <cell r="B2886" t="str">
            <v/>
          </cell>
        </row>
        <row r="2887">
          <cell r="B2887" t="str">
            <v/>
          </cell>
        </row>
        <row r="2888">
          <cell r="B2888" t="str">
            <v/>
          </cell>
        </row>
        <row r="2889">
          <cell r="B2889" t="str">
            <v/>
          </cell>
        </row>
        <row r="2890">
          <cell r="B2890" t="str">
            <v/>
          </cell>
        </row>
        <row r="2891">
          <cell r="B2891" t="str">
            <v/>
          </cell>
        </row>
        <row r="2892">
          <cell r="B2892" t="str">
            <v/>
          </cell>
        </row>
        <row r="2893">
          <cell r="B2893" t="str">
            <v/>
          </cell>
        </row>
        <row r="2894">
          <cell r="B2894" t="str">
            <v/>
          </cell>
        </row>
        <row r="2895">
          <cell r="B2895" t="str">
            <v/>
          </cell>
        </row>
        <row r="2896">
          <cell r="B2896" t="str">
            <v/>
          </cell>
        </row>
        <row r="2897">
          <cell r="B2897" t="str">
            <v/>
          </cell>
        </row>
        <row r="2898">
          <cell r="B2898" t="str">
            <v/>
          </cell>
        </row>
        <row r="2899">
          <cell r="B2899" t="str">
            <v/>
          </cell>
        </row>
        <row r="2900">
          <cell r="B2900" t="str">
            <v/>
          </cell>
        </row>
        <row r="2901">
          <cell r="B2901" t="str">
            <v/>
          </cell>
        </row>
        <row r="2902">
          <cell r="B2902" t="str">
            <v/>
          </cell>
        </row>
        <row r="2903">
          <cell r="B2903" t="str">
            <v/>
          </cell>
        </row>
        <row r="2904">
          <cell r="B2904" t="str">
            <v/>
          </cell>
        </row>
        <row r="2905">
          <cell r="B2905" t="str">
            <v/>
          </cell>
        </row>
        <row r="2906">
          <cell r="B2906" t="str">
            <v/>
          </cell>
        </row>
        <row r="2907">
          <cell r="B2907" t="str">
            <v/>
          </cell>
        </row>
        <row r="2908">
          <cell r="B2908" t="str">
            <v/>
          </cell>
        </row>
        <row r="2909">
          <cell r="B2909" t="str">
            <v/>
          </cell>
        </row>
        <row r="2910">
          <cell r="B2910" t="str">
            <v/>
          </cell>
        </row>
        <row r="2911">
          <cell r="B2911" t="str">
            <v/>
          </cell>
        </row>
        <row r="2912">
          <cell r="B2912" t="str">
            <v/>
          </cell>
        </row>
        <row r="2913">
          <cell r="B2913" t="str">
            <v/>
          </cell>
        </row>
        <row r="2914">
          <cell r="B2914" t="str">
            <v/>
          </cell>
        </row>
        <row r="2915">
          <cell r="B2915" t="str">
            <v/>
          </cell>
        </row>
        <row r="2916">
          <cell r="B2916" t="str">
            <v/>
          </cell>
        </row>
        <row r="2917">
          <cell r="B2917" t="str">
            <v/>
          </cell>
        </row>
        <row r="2918">
          <cell r="B2918" t="str">
            <v/>
          </cell>
        </row>
        <row r="2919">
          <cell r="B2919" t="str">
            <v/>
          </cell>
        </row>
        <row r="2920">
          <cell r="B2920" t="str">
            <v/>
          </cell>
        </row>
        <row r="2921">
          <cell r="B2921" t="str">
            <v/>
          </cell>
        </row>
        <row r="2922">
          <cell r="B2922" t="str">
            <v/>
          </cell>
        </row>
        <row r="2923">
          <cell r="B2923" t="str">
            <v/>
          </cell>
        </row>
        <row r="2924">
          <cell r="B2924" t="str">
            <v/>
          </cell>
        </row>
        <row r="2925">
          <cell r="B2925" t="str">
            <v/>
          </cell>
        </row>
        <row r="2926">
          <cell r="B2926" t="str">
            <v/>
          </cell>
        </row>
        <row r="2927">
          <cell r="B2927" t="str">
            <v/>
          </cell>
        </row>
        <row r="2928">
          <cell r="B2928" t="str">
            <v/>
          </cell>
        </row>
        <row r="2929">
          <cell r="B2929" t="str">
            <v/>
          </cell>
        </row>
        <row r="2930">
          <cell r="B2930" t="str">
            <v/>
          </cell>
        </row>
        <row r="2931">
          <cell r="B2931" t="str">
            <v/>
          </cell>
        </row>
        <row r="2932">
          <cell r="B2932" t="str">
            <v/>
          </cell>
        </row>
        <row r="2933">
          <cell r="B2933" t="str">
            <v/>
          </cell>
        </row>
        <row r="2934">
          <cell r="B2934" t="str">
            <v/>
          </cell>
        </row>
        <row r="2935">
          <cell r="B2935" t="str">
            <v/>
          </cell>
        </row>
        <row r="2936">
          <cell r="B2936" t="str">
            <v/>
          </cell>
        </row>
        <row r="2937">
          <cell r="B2937" t="str">
            <v/>
          </cell>
        </row>
        <row r="2938">
          <cell r="B2938" t="str">
            <v/>
          </cell>
        </row>
        <row r="2939">
          <cell r="B2939" t="str">
            <v/>
          </cell>
        </row>
        <row r="2940">
          <cell r="B2940" t="str">
            <v/>
          </cell>
        </row>
        <row r="2941">
          <cell r="B2941" t="str">
            <v/>
          </cell>
        </row>
        <row r="2942">
          <cell r="B2942" t="str">
            <v/>
          </cell>
        </row>
        <row r="2943">
          <cell r="B2943" t="str">
            <v/>
          </cell>
        </row>
        <row r="2944">
          <cell r="B2944" t="str">
            <v/>
          </cell>
        </row>
        <row r="2945">
          <cell r="B2945" t="str">
            <v/>
          </cell>
        </row>
        <row r="2946">
          <cell r="B2946" t="str">
            <v/>
          </cell>
        </row>
        <row r="2947">
          <cell r="B2947" t="str">
            <v/>
          </cell>
        </row>
        <row r="2948">
          <cell r="B2948" t="str">
            <v/>
          </cell>
        </row>
        <row r="2949">
          <cell r="B2949" t="str">
            <v/>
          </cell>
        </row>
        <row r="2950">
          <cell r="B2950" t="str">
            <v/>
          </cell>
        </row>
        <row r="2951">
          <cell r="B2951" t="str">
            <v/>
          </cell>
        </row>
        <row r="2952">
          <cell r="B2952" t="str">
            <v/>
          </cell>
        </row>
        <row r="2953">
          <cell r="B2953" t="str">
            <v/>
          </cell>
        </row>
        <row r="2954">
          <cell r="B2954" t="str">
            <v/>
          </cell>
        </row>
        <row r="2955">
          <cell r="B2955" t="str">
            <v/>
          </cell>
        </row>
        <row r="2956">
          <cell r="B2956" t="str">
            <v/>
          </cell>
        </row>
        <row r="2957">
          <cell r="B2957" t="str">
            <v/>
          </cell>
        </row>
        <row r="2958">
          <cell r="B2958" t="str">
            <v/>
          </cell>
        </row>
        <row r="2959">
          <cell r="B2959" t="str">
            <v/>
          </cell>
        </row>
        <row r="2960">
          <cell r="B2960" t="str">
            <v/>
          </cell>
        </row>
        <row r="2961">
          <cell r="B2961" t="str">
            <v/>
          </cell>
        </row>
        <row r="2962">
          <cell r="B2962" t="str">
            <v/>
          </cell>
        </row>
        <row r="2963">
          <cell r="B2963" t="str">
            <v/>
          </cell>
        </row>
        <row r="2964">
          <cell r="B2964" t="str">
            <v/>
          </cell>
        </row>
        <row r="2965">
          <cell r="B2965" t="str">
            <v/>
          </cell>
        </row>
        <row r="2966">
          <cell r="B2966" t="str">
            <v/>
          </cell>
        </row>
        <row r="2967">
          <cell r="B2967" t="str">
            <v/>
          </cell>
        </row>
        <row r="2968">
          <cell r="B2968" t="str">
            <v/>
          </cell>
        </row>
        <row r="2969">
          <cell r="B2969" t="str">
            <v/>
          </cell>
        </row>
        <row r="2970">
          <cell r="B2970" t="str">
            <v/>
          </cell>
        </row>
        <row r="2971">
          <cell r="B2971" t="str">
            <v/>
          </cell>
        </row>
        <row r="2972">
          <cell r="B2972" t="str">
            <v/>
          </cell>
        </row>
        <row r="2973">
          <cell r="B2973" t="str">
            <v/>
          </cell>
        </row>
        <row r="2974">
          <cell r="B2974" t="str">
            <v/>
          </cell>
        </row>
        <row r="2975">
          <cell r="B2975" t="str">
            <v/>
          </cell>
        </row>
        <row r="2976">
          <cell r="B2976" t="str">
            <v/>
          </cell>
        </row>
        <row r="2977">
          <cell r="B2977" t="str">
            <v/>
          </cell>
        </row>
        <row r="2978">
          <cell r="B2978" t="str">
            <v/>
          </cell>
        </row>
        <row r="2979">
          <cell r="B2979" t="str">
            <v/>
          </cell>
        </row>
        <row r="2980">
          <cell r="B2980" t="str">
            <v/>
          </cell>
        </row>
        <row r="2981">
          <cell r="B2981" t="str">
            <v/>
          </cell>
        </row>
        <row r="2982">
          <cell r="B2982" t="str">
            <v/>
          </cell>
        </row>
        <row r="2983">
          <cell r="B2983" t="str">
            <v/>
          </cell>
        </row>
        <row r="2984">
          <cell r="B2984" t="str">
            <v/>
          </cell>
        </row>
        <row r="2985">
          <cell r="B2985" t="str">
            <v/>
          </cell>
        </row>
        <row r="2986">
          <cell r="B2986" t="str">
            <v/>
          </cell>
        </row>
        <row r="2987">
          <cell r="B2987" t="str">
            <v/>
          </cell>
        </row>
        <row r="2988">
          <cell r="B2988" t="str">
            <v/>
          </cell>
        </row>
        <row r="2989">
          <cell r="B2989" t="str">
            <v/>
          </cell>
        </row>
        <row r="2990">
          <cell r="B2990" t="str">
            <v/>
          </cell>
        </row>
        <row r="2991">
          <cell r="B2991" t="str">
            <v/>
          </cell>
        </row>
        <row r="2992">
          <cell r="B2992" t="str">
            <v/>
          </cell>
        </row>
        <row r="2993">
          <cell r="B2993" t="str">
            <v/>
          </cell>
        </row>
        <row r="2994">
          <cell r="B2994" t="str">
            <v/>
          </cell>
        </row>
        <row r="2995">
          <cell r="B2995" t="str">
            <v/>
          </cell>
        </row>
        <row r="2996">
          <cell r="B2996" t="str">
            <v/>
          </cell>
        </row>
        <row r="2997">
          <cell r="B2997" t="str">
            <v/>
          </cell>
        </row>
        <row r="2998">
          <cell r="B2998" t="str">
            <v/>
          </cell>
        </row>
        <row r="2999">
          <cell r="B2999" t="str">
            <v/>
          </cell>
        </row>
        <row r="3000">
          <cell r="B3000" t="str">
            <v/>
          </cell>
        </row>
        <row r="3001">
          <cell r="B3001" t="str">
            <v/>
          </cell>
        </row>
        <row r="3002">
          <cell r="B3002" t="str">
            <v/>
          </cell>
        </row>
        <row r="3003">
          <cell r="B3003" t="str">
            <v/>
          </cell>
        </row>
        <row r="3004">
          <cell r="B3004" t="str">
            <v/>
          </cell>
        </row>
        <row r="3005">
          <cell r="B3005" t="str">
            <v/>
          </cell>
        </row>
        <row r="3006">
          <cell r="B3006" t="str">
            <v/>
          </cell>
        </row>
        <row r="3007">
          <cell r="B3007" t="str">
            <v/>
          </cell>
        </row>
        <row r="3008">
          <cell r="B3008" t="str">
            <v/>
          </cell>
        </row>
        <row r="3009">
          <cell r="B3009" t="str">
            <v/>
          </cell>
        </row>
        <row r="3010">
          <cell r="B3010" t="str">
            <v/>
          </cell>
        </row>
        <row r="3011">
          <cell r="B3011" t="str">
            <v/>
          </cell>
        </row>
        <row r="3012">
          <cell r="B3012" t="str">
            <v/>
          </cell>
        </row>
        <row r="3013">
          <cell r="B3013" t="str">
            <v/>
          </cell>
        </row>
        <row r="3014">
          <cell r="B3014" t="str">
            <v/>
          </cell>
        </row>
        <row r="3015">
          <cell r="B3015" t="str">
            <v/>
          </cell>
        </row>
        <row r="3016">
          <cell r="B3016" t="str">
            <v/>
          </cell>
        </row>
        <row r="3017">
          <cell r="B3017" t="str">
            <v/>
          </cell>
        </row>
        <row r="3018">
          <cell r="B3018" t="str">
            <v/>
          </cell>
        </row>
        <row r="3019">
          <cell r="B3019" t="str">
            <v/>
          </cell>
        </row>
        <row r="3020">
          <cell r="B3020" t="str">
            <v/>
          </cell>
        </row>
        <row r="3021">
          <cell r="B3021" t="str">
            <v/>
          </cell>
        </row>
        <row r="3022">
          <cell r="B3022" t="str">
            <v/>
          </cell>
        </row>
        <row r="3023">
          <cell r="B3023" t="str">
            <v/>
          </cell>
        </row>
        <row r="3024">
          <cell r="B3024" t="str">
            <v/>
          </cell>
        </row>
        <row r="3025">
          <cell r="B3025" t="str">
            <v/>
          </cell>
        </row>
        <row r="3026">
          <cell r="B3026" t="str">
            <v/>
          </cell>
        </row>
        <row r="3027">
          <cell r="B3027" t="str">
            <v/>
          </cell>
        </row>
        <row r="3028">
          <cell r="B3028" t="str">
            <v/>
          </cell>
        </row>
        <row r="3029">
          <cell r="B3029" t="str">
            <v/>
          </cell>
        </row>
        <row r="3030">
          <cell r="B3030" t="str">
            <v/>
          </cell>
        </row>
        <row r="3031">
          <cell r="B3031" t="str">
            <v/>
          </cell>
        </row>
        <row r="3032">
          <cell r="B3032" t="str">
            <v/>
          </cell>
        </row>
        <row r="3033">
          <cell r="B3033" t="str">
            <v/>
          </cell>
        </row>
        <row r="3034">
          <cell r="B3034" t="str">
            <v/>
          </cell>
        </row>
        <row r="3035">
          <cell r="B3035" t="str">
            <v/>
          </cell>
        </row>
        <row r="3036">
          <cell r="B3036" t="str">
            <v/>
          </cell>
        </row>
        <row r="3037">
          <cell r="B3037" t="str">
            <v/>
          </cell>
        </row>
        <row r="3038">
          <cell r="B3038" t="str">
            <v/>
          </cell>
        </row>
        <row r="3039">
          <cell r="B3039" t="str">
            <v/>
          </cell>
        </row>
        <row r="3040">
          <cell r="B3040" t="str">
            <v/>
          </cell>
        </row>
        <row r="3041">
          <cell r="B3041" t="str">
            <v/>
          </cell>
        </row>
        <row r="3042">
          <cell r="B3042" t="str">
            <v/>
          </cell>
        </row>
        <row r="3043">
          <cell r="B3043" t="str">
            <v/>
          </cell>
        </row>
        <row r="3044">
          <cell r="B3044" t="str">
            <v/>
          </cell>
        </row>
        <row r="3045">
          <cell r="B3045" t="str">
            <v/>
          </cell>
        </row>
        <row r="3046">
          <cell r="B3046" t="str">
            <v/>
          </cell>
        </row>
        <row r="3047">
          <cell r="B3047" t="str">
            <v/>
          </cell>
        </row>
        <row r="3048">
          <cell r="B3048" t="str">
            <v/>
          </cell>
        </row>
        <row r="3049">
          <cell r="B3049" t="str">
            <v/>
          </cell>
        </row>
        <row r="3050">
          <cell r="B3050" t="str">
            <v/>
          </cell>
        </row>
        <row r="3051">
          <cell r="B3051" t="str">
            <v/>
          </cell>
        </row>
        <row r="3052">
          <cell r="B3052" t="str">
            <v/>
          </cell>
        </row>
        <row r="3053">
          <cell r="B3053" t="str">
            <v/>
          </cell>
        </row>
        <row r="3054">
          <cell r="B3054" t="str">
            <v/>
          </cell>
        </row>
        <row r="3055">
          <cell r="B3055" t="str">
            <v/>
          </cell>
        </row>
        <row r="3056">
          <cell r="B3056" t="str">
            <v/>
          </cell>
        </row>
        <row r="3057">
          <cell r="B3057" t="str">
            <v/>
          </cell>
        </row>
        <row r="3058">
          <cell r="B3058" t="str">
            <v/>
          </cell>
        </row>
        <row r="3059">
          <cell r="B3059" t="str">
            <v/>
          </cell>
        </row>
        <row r="3060">
          <cell r="B3060" t="str">
            <v/>
          </cell>
        </row>
        <row r="3061">
          <cell r="B3061" t="str">
            <v/>
          </cell>
        </row>
        <row r="3062">
          <cell r="B3062" t="str">
            <v/>
          </cell>
        </row>
        <row r="3063">
          <cell r="B3063" t="str">
            <v/>
          </cell>
        </row>
        <row r="3064">
          <cell r="B3064" t="str">
            <v/>
          </cell>
        </row>
        <row r="3065">
          <cell r="B3065" t="str">
            <v/>
          </cell>
        </row>
        <row r="3066">
          <cell r="B3066" t="str">
            <v/>
          </cell>
        </row>
        <row r="3067">
          <cell r="B3067" t="str">
            <v/>
          </cell>
        </row>
        <row r="3068">
          <cell r="B3068" t="str">
            <v/>
          </cell>
        </row>
        <row r="3069">
          <cell r="B3069" t="str">
            <v/>
          </cell>
        </row>
        <row r="3070">
          <cell r="B3070" t="str">
            <v/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1"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</row>
        <row r="12"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</row>
        <row r="13"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</row>
        <row r="14"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</row>
        <row r="18"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</row>
        <row r="22"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</row>
        <row r="34"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</row>
        <row r="38"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</row>
        <row r="42"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</row>
        <row r="46"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</row>
        <row r="121"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</row>
        <row r="122"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</row>
        <row r="123"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</row>
        <row r="124"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</row>
        <row r="125"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</row>
        <row r="127"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</row>
        <row r="128"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</row>
        <row r="129"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</row>
        <row r="130"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</row>
        <row r="131"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</row>
        <row r="132"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</row>
        <row r="136"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</row>
        <row r="144"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</row>
        <row r="148"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</row>
        <row r="152"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</row>
        <row r="156"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</row>
        <row r="160"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</row>
        <row r="168"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</row>
        <row r="172"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</row>
        <row r="176"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</row>
        <row r="177"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</row>
        <row r="178"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</row>
        <row r="179"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</row>
        <row r="181"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</row>
        <row r="182"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</row>
        <row r="184"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</row>
        <row r="185"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</row>
        <row r="186"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</row>
        <row r="187"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</row>
        <row r="188"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</row>
        <row r="189"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</row>
        <row r="190"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</row>
        <row r="191"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</row>
        <row r="192"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</row>
        <row r="193"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</row>
        <row r="194"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</row>
        <row r="195"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</row>
        <row r="196"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</row>
        <row r="197"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</row>
        <row r="198"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</row>
        <row r="199"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</row>
        <row r="200"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</row>
        <row r="201"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</row>
        <row r="202"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</row>
        <row r="203"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</row>
        <row r="204"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</row>
        <row r="205"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</row>
        <row r="206"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</row>
        <row r="207"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</row>
        <row r="208"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</row>
        <row r="209"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</row>
        <row r="210"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</row>
        <row r="211"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</row>
        <row r="212"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</row>
        <row r="213"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</row>
        <row r="214"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</row>
        <row r="215"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</row>
        <row r="216"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</row>
        <row r="217"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</row>
        <row r="218"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</row>
        <row r="219"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</row>
        <row r="221"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</row>
        <row r="222"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</row>
        <row r="223"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</row>
        <row r="224"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</row>
        <row r="225"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</row>
        <row r="226"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</row>
        <row r="227"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</row>
        <row r="228"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</row>
        <row r="229"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</row>
        <row r="230"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</row>
        <row r="231"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</row>
        <row r="232"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</row>
        <row r="233"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</row>
        <row r="234"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</row>
        <row r="235"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</row>
        <row r="236"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</row>
        <row r="237"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</row>
        <row r="238"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</row>
        <row r="239"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</row>
        <row r="240"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</row>
        <row r="241"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</row>
        <row r="242"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</row>
        <row r="243"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</row>
        <row r="244"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</row>
        <row r="245"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</row>
        <row r="246"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</row>
        <row r="247"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</row>
        <row r="248"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</row>
        <row r="249"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</row>
        <row r="250"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</row>
        <row r="251"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</row>
        <row r="252"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</row>
        <row r="253"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</row>
        <row r="254"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</row>
        <row r="255"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</row>
        <row r="256"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</row>
        <row r="257"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</row>
        <row r="258"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</row>
        <row r="259"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</row>
        <row r="260"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</row>
        <row r="261"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</row>
        <row r="262"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</row>
        <row r="263"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</row>
        <row r="264"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</row>
        <row r="265"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</row>
        <row r="266"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</row>
        <row r="267"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</row>
        <row r="268"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</row>
        <row r="269"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</row>
        <row r="270"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</row>
        <row r="271"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</row>
        <row r="272"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</row>
        <row r="273"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</row>
        <row r="275"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</row>
        <row r="276"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</row>
        <row r="277"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</row>
        <row r="278"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</row>
        <row r="279"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</row>
        <row r="280"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</row>
        <row r="281"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</row>
        <row r="282"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</row>
        <row r="283"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</row>
        <row r="284"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</row>
        <row r="285"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</row>
        <row r="286"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</row>
        <row r="287"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</row>
        <row r="288"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</row>
        <row r="289"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</row>
        <row r="290"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</row>
        <row r="291"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</row>
        <row r="292"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</row>
        <row r="293"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</row>
        <row r="294"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</row>
        <row r="295"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</row>
        <row r="296"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</row>
        <row r="297"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</row>
        <row r="298"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</row>
        <row r="299"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</row>
        <row r="300"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</row>
        <row r="301"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</row>
        <row r="302"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</row>
        <row r="303"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</row>
        <row r="304"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</row>
        <row r="305"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</row>
        <row r="306"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</row>
        <row r="307"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</row>
        <row r="308"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</row>
        <row r="309"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</row>
        <row r="310"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</row>
        <row r="311"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</row>
        <row r="312"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</row>
        <row r="313"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</row>
        <row r="314"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</row>
        <row r="315"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</row>
        <row r="316"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</row>
        <row r="317"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</row>
        <row r="318"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</row>
        <row r="319"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</row>
        <row r="320"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</row>
        <row r="321"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</row>
        <row r="322"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</row>
        <row r="323"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</row>
        <row r="324"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</row>
        <row r="325"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</row>
        <row r="326"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</row>
        <row r="327"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</row>
        <row r="328"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</row>
        <row r="329"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</row>
        <row r="330"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</row>
        <row r="331"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</row>
        <row r="332"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</row>
        <row r="333"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</row>
        <row r="334"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</row>
        <row r="335"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</row>
        <row r="336"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</row>
        <row r="337"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</row>
        <row r="338"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</row>
        <row r="339"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</row>
        <row r="340"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</row>
        <row r="341"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</row>
        <row r="342"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</row>
        <row r="343"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</row>
        <row r="344"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</row>
        <row r="345"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</row>
        <row r="346"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</row>
        <row r="347"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</row>
        <row r="348"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</row>
        <row r="349"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</row>
        <row r="350"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</row>
        <row r="351"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</row>
        <row r="352"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</row>
        <row r="353"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</row>
        <row r="354"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</row>
        <row r="355"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</row>
        <row r="356"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</row>
        <row r="357"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</row>
        <row r="358"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</row>
        <row r="359"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</row>
        <row r="360"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</row>
        <row r="361"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</row>
        <row r="362"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</row>
        <row r="363"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</row>
        <row r="364"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</row>
        <row r="365"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</row>
        <row r="366"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</row>
        <row r="367"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</row>
        <row r="368"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</row>
        <row r="369"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</row>
        <row r="370"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</row>
        <row r="371"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</row>
        <row r="372"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</row>
        <row r="373"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</row>
        <row r="374"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</row>
        <row r="375"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</row>
        <row r="376"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</row>
        <row r="377"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</row>
        <row r="378"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</row>
        <row r="379"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</row>
        <row r="380"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</row>
        <row r="381"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</row>
        <row r="382"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</row>
        <row r="383"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</row>
        <row r="384"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</row>
        <row r="385"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</row>
        <row r="386"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</row>
        <row r="387"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</row>
        <row r="388"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</row>
        <row r="389"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</row>
        <row r="390"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</row>
        <row r="391"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</row>
        <row r="392"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</row>
        <row r="393"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</row>
        <row r="394"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</row>
        <row r="395"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</row>
        <row r="396"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</row>
        <row r="397"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</row>
        <row r="398"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</row>
        <row r="399"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</row>
        <row r="400"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</row>
        <row r="401"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</row>
        <row r="402"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</row>
        <row r="403"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</row>
        <row r="404"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</row>
        <row r="405"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</row>
        <row r="406"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</row>
        <row r="407"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</row>
        <row r="408"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</row>
        <row r="409"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</row>
        <row r="410"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</row>
        <row r="411"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</row>
        <row r="412"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</row>
        <row r="413"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</row>
        <row r="414"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</row>
        <row r="415"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</row>
        <row r="416"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</row>
        <row r="417"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</row>
        <row r="418"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</row>
        <row r="419"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</row>
        <row r="420"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</row>
        <row r="421"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</row>
        <row r="422"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</row>
        <row r="423"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</row>
        <row r="424"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</row>
        <row r="425"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</row>
        <row r="426"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</row>
        <row r="427"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</row>
        <row r="428"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</row>
        <row r="429"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</row>
        <row r="430"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</row>
        <row r="431"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</row>
        <row r="432"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</row>
        <row r="433"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</row>
        <row r="434"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</row>
        <row r="435"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</row>
        <row r="436"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</row>
        <row r="437"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</row>
        <row r="438"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</row>
        <row r="439"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</row>
        <row r="440"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</row>
        <row r="441"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</row>
        <row r="442"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</row>
        <row r="443"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</row>
        <row r="444"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</row>
        <row r="445"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</row>
        <row r="446"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</row>
        <row r="447"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</row>
        <row r="448"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</row>
        <row r="449"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</row>
        <row r="450"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</row>
        <row r="451"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</row>
        <row r="452"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</row>
        <row r="453"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</row>
        <row r="454"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</row>
        <row r="455"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</row>
        <row r="456"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</row>
        <row r="457"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</row>
        <row r="458"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</row>
        <row r="459"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</row>
        <row r="460"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</row>
        <row r="461"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</row>
        <row r="462"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</row>
        <row r="463"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</row>
        <row r="464"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</row>
        <row r="465"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</row>
        <row r="466"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</row>
        <row r="467"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</row>
        <row r="468"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</row>
        <row r="469"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</row>
        <row r="470"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</row>
        <row r="471"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</row>
        <row r="472"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</row>
        <row r="473"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</row>
        <row r="474"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</row>
        <row r="475"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</row>
        <row r="476"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</row>
        <row r="477"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</row>
        <row r="478"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</row>
        <row r="479"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</row>
        <row r="480"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</row>
        <row r="481"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</row>
        <row r="482"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</row>
        <row r="483"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</row>
        <row r="484"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</row>
        <row r="485"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</row>
        <row r="486"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</row>
        <row r="487"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</row>
        <row r="488"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</row>
        <row r="489"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</row>
        <row r="490"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</row>
        <row r="491"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</row>
        <row r="492"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</row>
        <row r="493"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</row>
        <row r="494"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</row>
        <row r="495"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</row>
        <row r="496"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</row>
        <row r="497"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</row>
        <row r="498"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</row>
        <row r="499"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</row>
        <row r="500"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</row>
        <row r="501"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</row>
        <row r="502"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</row>
        <row r="503"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</row>
        <row r="504"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</row>
        <row r="505"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</row>
        <row r="506"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</row>
        <row r="507"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</row>
        <row r="508"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</row>
        <row r="509"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</row>
        <row r="510"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</row>
        <row r="511"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</row>
        <row r="512"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</row>
        <row r="513"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</row>
        <row r="514"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</row>
        <row r="515"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</row>
        <row r="516"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</row>
        <row r="517"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</row>
        <row r="518"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</row>
        <row r="519"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</row>
        <row r="520"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</row>
        <row r="521"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</row>
        <row r="522"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</row>
        <row r="523"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</row>
        <row r="524"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</row>
        <row r="525"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</row>
        <row r="526"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</row>
        <row r="527"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</row>
        <row r="528"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</row>
        <row r="529"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</row>
        <row r="530"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</row>
        <row r="531"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</row>
        <row r="532"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</row>
        <row r="534"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</row>
        <row r="535"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</row>
        <row r="536"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</row>
        <row r="538"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</row>
        <row r="541"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</row>
        <row r="542"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</row>
        <row r="543"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</row>
        <row r="544"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</row>
        <row r="545"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</row>
        <row r="546"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</row>
        <row r="547"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</row>
        <row r="548"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</row>
        <row r="549"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</row>
        <row r="550"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</row>
        <row r="551"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</row>
        <row r="552"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</row>
        <row r="553"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</row>
        <row r="554"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</row>
        <row r="555"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</row>
        <row r="556"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</row>
        <row r="557"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</row>
        <row r="558"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</row>
        <row r="559"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</row>
        <row r="560"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</row>
        <row r="561"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</row>
        <row r="562"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</row>
        <row r="563"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</row>
        <row r="564"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</row>
        <row r="565"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</row>
        <row r="566"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</row>
        <row r="567"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</row>
        <row r="568"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</row>
        <row r="569"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</row>
        <row r="570"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</row>
        <row r="571"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</row>
        <row r="572"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</row>
        <row r="573"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</row>
        <row r="574"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</row>
        <row r="575"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</row>
        <row r="576"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</row>
        <row r="577"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</row>
        <row r="578"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</row>
        <row r="579"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</row>
        <row r="580"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</row>
        <row r="581"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</row>
        <row r="582"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</row>
        <row r="583"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</row>
        <row r="584"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</row>
        <row r="585"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</row>
        <row r="586"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</row>
        <row r="587"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</row>
        <row r="588"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</row>
        <row r="589"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</row>
        <row r="590"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</row>
        <row r="591"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</row>
        <row r="592"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</row>
        <row r="593"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</row>
        <row r="594"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</row>
        <row r="595"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</row>
        <row r="596"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</row>
        <row r="597"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</row>
        <row r="598"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</row>
        <row r="599"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</row>
        <row r="600"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</row>
        <row r="601"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</row>
        <row r="602"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</row>
        <row r="603"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</row>
        <row r="604"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</row>
        <row r="605"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</row>
        <row r="606"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</row>
        <row r="607"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</row>
        <row r="608"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</row>
        <row r="609"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</row>
        <row r="610"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</row>
        <row r="611"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</row>
        <row r="612"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</row>
        <row r="613"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</row>
        <row r="614"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</row>
        <row r="615"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</row>
        <row r="616"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</row>
        <row r="617"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</row>
        <row r="618"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</row>
        <row r="619"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</row>
        <row r="620"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</row>
        <row r="621"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</row>
        <row r="622"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</row>
        <row r="623"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</row>
        <row r="624"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</row>
        <row r="625"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</row>
        <row r="626"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</row>
        <row r="627"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</row>
        <row r="628"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</row>
        <row r="629"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</row>
        <row r="630"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</row>
        <row r="631"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</row>
        <row r="632"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</row>
        <row r="633"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</row>
        <row r="634"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</row>
        <row r="635"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</row>
        <row r="636"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</row>
        <row r="637"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</row>
        <row r="638"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</row>
        <row r="639"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</row>
        <row r="640"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</row>
        <row r="641"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</row>
        <row r="642"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</row>
        <row r="643"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</row>
        <row r="644"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</row>
        <row r="645"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</row>
        <row r="646"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</row>
        <row r="647"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</row>
        <row r="648"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</row>
        <row r="649"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</row>
        <row r="650"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</row>
        <row r="651"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</row>
        <row r="652"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</row>
        <row r="653"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</row>
        <row r="654"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</row>
        <row r="655"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</row>
        <row r="656"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</row>
        <row r="657"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</row>
        <row r="658"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</row>
        <row r="659"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</row>
        <row r="660"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</row>
        <row r="661"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</row>
        <row r="662"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</row>
        <row r="663"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</row>
        <row r="664"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</row>
        <row r="665"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</row>
        <row r="666"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</row>
        <row r="667"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</row>
        <row r="668"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</row>
        <row r="669"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</row>
        <row r="670"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</row>
        <row r="671"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</row>
        <row r="672"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</row>
        <row r="673"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</row>
        <row r="674"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</row>
        <row r="675"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</row>
        <row r="676"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</row>
        <row r="677"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</row>
        <row r="678"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</row>
        <row r="679"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</row>
        <row r="680"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</row>
        <row r="681"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</row>
        <row r="682"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</row>
        <row r="683"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</row>
        <row r="684"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</row>
        <row r="685"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</row>
        <row r="686"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</row>
        <row r="687"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</row>
        <row r="688"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</row>
        <row r="689"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</row>
        <row r="690"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</row>
        <row r="691"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</row>
        <row r="692"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</row>
        <row r="693"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</row>
        <row r="694"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</row>
        <row r="695"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</row>
        <row r="696"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</row>
        <row r="697"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</row>
        <row r="698"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</row>
        <row r="699"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</row>
        <row r="700"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</row>
        <row r="701"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</row>
        <row r="702"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</row>
        <row r="703"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</row>
        <row r="704"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</row>
        <row r="705"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</row>
        <row r="706"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</row>
        <row r="707"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</row>
        <row r="708"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</row>
        <row r="709"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</row>
        <row r="710"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</row>
        <row r="711"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</row>
        <row r="712"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</row>
        <row r="713"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</row>
        <row r="714"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</row>
        <row r="715"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</row>
        <row r="716"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</row>
        <row r="717"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</row>
        <row r="718"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</row>
        <row r="719"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</row>
        <row r="720"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</row>
        <row r="721"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</row>
        <row r="722"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</row>
        <row r="723"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</row>
        <row r="724"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</row>
        <row r="725"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</row>
        <row r="726"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</row>
        <row r="727"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</row>
        <row r="728"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</row>
        <row r="729"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</row>
        <row r="730"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</row>
        <row r="731"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</row>
        <row r="732"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</row>
        <row r="733"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</row>
        <row r="734"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</row>
        <row r="735"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</row>
        <row r="736"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</row>
        <row r="737"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</row>
        <row r="738"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</row>
        <row r="739"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</row>
        <row r="740"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</row>
        <row r="741"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</row>
        <row r="742"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</row>
        <row r="743"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</row>
        <row r="744"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</row>
        <row r="745"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</row>
        <row r="746"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</row>
        <row r="747"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</row>
        <row r="748"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</row>
        <row r="749"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</row>
        <row r="750"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</row>
        <row r="751"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</row>
        <row r="752"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</row>
        <row r="753"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</row>
        <row r="754"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</row>
        <row r="755"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</row>
        <row r="756"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</row>
        <row r="757"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</row>
        <row r="758"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</row>
        <row r="759"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</row>
        <row r="760"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</row>
        <row r="761"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</row>
        <row r="762"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</row>
        <row r="763"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</row>
        <row r="764"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</row>
        <row r="765"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</row>
        <row r="766"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</row>
        <row r="767"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</row>
        <row r="768"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</row>
        <row r="769"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</row>
        <row r="770"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</row>
        <row r="771"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</row>
        <row r="772"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</row>
        <row r="773"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</row>
        <row r="774"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</row>
        <row r="775"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</row>
        <row r="776"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</row>
        <row r="777"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</row>
        <row r="778"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</row>
        <row r="779"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</row>
        <row r="780"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</row>
        <row r="781"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</row>
        <row r="782"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</row>
        <row r="783"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</row>
        <row r="784"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</row>
        <row r="785"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</row>
        <row r="786"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</row>
        <row r="787"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</row>
        <row r="788"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</row>
        <row r="789"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</row>
        <row r="790"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</row>
        <row r="791"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</row>
        <row r="792"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</row>
        <row r="793"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</row>
        <row r="794"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</row>
        <row r="795"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</row>
        <row r="796"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</row>
        <row r="797"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</row>
        <row r="798"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</row>
        <row r="799"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</row>
        <row r="800"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</row>
        <row r="801"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</row>
        <row r="802"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</row>
        <row r="803"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</row>
        <row r="804"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</row>
        <row r="805"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</row>
        <row r="806"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</row>
        <row r="807"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</row>
        <row r="808"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</row>
        <row r="809"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</row>
        <row r="810"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</row>
        <row r="811"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</row>
        <row r="812"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</row>
        <row r="813"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</row>
        <row r="814"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</row>
        <row r="815"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</row>
        <row r="816"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</row>
        <row r="817"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</row>
        <row r="818"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</row>
        <row r="819"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</row>
        <row r="820"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</row>
        <row r="821"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</row>
        <row r="822"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</row>
        <row r="823"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</row>
        <row r="824"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</row>
        <row r="825"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</row>
        <row r="826"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</row>
        <row r="827"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</row>
        <row r="828"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</row>
        <row r="829"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</row>
        <row r="830"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</row>
        <row r="831"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</row>
        <row r="832"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</row>
        <row r="833"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</row>
        <row r="834"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</row>
        <row r="835"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</row>
        <row r="836"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</row>
        <row r="837"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</row>
        <row r="838"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</row>
        <row r="839"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</row>
        <row r="840"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</row>
        <row r="841"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</row>
        <row r="842"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</row>
        <row r="843"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</row>
        <row r="844"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</row>
        <row r="845"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</row>
        <row r="846"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</row>
        <row r="847"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</row>
        <row r="848"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</row>
        <row r="849"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</row>
        <row r="850"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</row>
        <row r="851"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</row>
        <row r="852"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</row>
        <row r="853"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</row>
        <row r="854"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</row>
        <row r="855"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</row>
        <row r="856"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</row>
        <row r="857"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</row>
        <row r="858"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</row>
        <row r="859"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</row>
        <row r="860"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</row>
        <row r="861"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</row>
        <row r="862"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</row>
        <row r="863"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</row>
        <row r="864"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</row>
        <row r="865"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</row>
        <row r="866"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</row>
        <row r="867"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</row>
        <row r="868"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</row>
        <row r="869"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</row>
        <row r="870"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</row>
        <row r="871"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</row>
        <row r="872"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</row>
        <row r="873"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</row>
        <row r="874"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</row>
        <row r="875"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</row>
        <row r="876"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</row>
        <row r="877"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</row>
        <row r="878"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</row>
        <row r="879"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</row>
        <row r="880"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</row>
        <row r="881"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</row>
        <row r="882"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</row>
        <row r="883"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</row>
        <row r="884"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</row>
        <row r="885"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</row>
        <row r="886"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</row>
        <row r="887"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</row>
        <row r="888"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</row>
        <row r="889"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</row>
        <row r="890"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</row>
        <row r="891"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</row>
        <row r="892"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</row>
        <row r="893"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</row>
        <row r="894"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</row>
        <row r="895"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</row>
        <row r="896"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</row>
        <row r="897"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</row>
        <row r="898"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</row>
        <row r="899"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</row>
        <row r="900"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</row>
        <row r="901"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</row>
        <row r="902"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</row>
        <row r="903"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</row>
        <row r="904"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</row>
        <row r="905"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</row>
        <row r="906"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</row>
        <row r="907"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</row>
        <row r="908"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</row>
        <row r="909"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</row>
        <row r="910"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</row>
        <row r="911"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</row>
        <row r="912"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</row>
        <row r="913"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</row>
        <row r="914"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</row>
        <row r="915"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</row>
        <row r="916"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</row>
        <row r="917"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</row>
        <row r="918"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</row>
        <row r="919"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</row>
        <row r="920"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</row>
        <row r="921"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</row>
        <row r="922"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</row>
        <row r="923"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</row>
        <row r="924"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</row>
        <row r="925"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</row>
        <row r="926"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</row>
        <row r="927"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</row>
        <row r="928"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</row>
        <row r="929"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</row>
        <row r="930"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</row>
        <row r="931"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</row>
        <row r="932"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</row>
        <row r="933"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</row>
        <row r="934"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</row>
        <row r="935"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</row>
        <row r="936"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</row>
        <row r="937"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</row>
        <row r="938"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</row>
        <row r="939"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</row>
        <row r="940"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</row>
        <row r="941"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</row>
        <row r="942"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</row>
        <row r="943"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</row>
        <row r="944"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</row>
        <row r="945"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</row>
        <row r="946"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</row>
        <row r="947"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</row>
        <row r="948"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</row>
        <row r="949"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</row>
        <row r="950"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</row>
        <row r="951"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</row>
        <row r="952"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</row>
        <row r="953"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</row>
        <row r="954"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</row>
        <row r="955"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</row>
        <row r="956"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</row>
        <row r="957"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</row>
        <row r="958"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</row>
        <row r="959"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</row>
        <row r="960"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</row>
        <row r="961">
          <cell r="D961" t="str">
            <v/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</row>
        <row r="962">
          <cell r="D962" t="str">
            <v/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</row>
        <row r="963">
          <cell r="D963" t="str">
            <v/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</row>
        <row r="964">
          <cell r="D964" t="str">
            <v/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</row>
        <row r="965">
          <cell r="D965" t="str">
            <v/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</row>
        <row r="966">
          <cell r="D966" t="str">
            <v/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</row>
        <row r="967">
          <cell r="D967" t="str">
            <v/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</row>
        <row r="968">
          <cell r="D968" t="str">
            <v/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</row>
        <row r="969">
          <cell r="D969" t="str">
            <v/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</row>
        <row r="970">
          <cell r="D970" t="str">
            <v/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</row>
        <row r="971">
          <cell r="D971" t="str">
            <v/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</row>
        <row r="972">
          <cell r="D972" t="str">
            <v/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</row>
        <row r="973">
          <cell r="D973" t="str">
            <v/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</row>
        <row r="974">
          <cell r="D974" t="str">
            <v/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</row>
        <row r="975">
          <cell r="D975" t="str">
            <v/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</row>
        <row r="976">
          <cell r="D976" t="str">
            <v/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</row>
        <row r="977">
          <cell r="D977" t="str">
            <v/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</row>
        <row r="978">
          <cell r="D978" t="str">
            <v/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</row>
        <row r="979">
          <cell r="D979" t="str">
            <v/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</row>
        <row r="980">
          <cell r="D980" t="str">
            <v/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</row>
        <row r="981">
          <cell r="D981" t="str">
            <v/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</row>
        <row r="982">
          <cell r="D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</row>
        <row r="983">
          <cell r="D983" t="str">
            <v/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</row>
        <row r="984">
          <cell r="D984" t="str">
            <v/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</row>
        <row r="985">
          <cell r="D985" t="str">
            <v/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</row>
        <row r="986">
          <cell r="D986" t="str">
            <v/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</row>
        <row r="987">
          <cell r="D987" t="str">
            <v/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</row>
        <row r="988">
          <cell r="D988" t="str">
            <v/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</row>
        <row r="989">
          <cell r="D989" t="str">
            <v/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</row>
        <row r="990"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</row>
        <row r="991"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</row>
        <row r="992"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</row>
        <row r="993"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</row>
        <row r="994"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</row>
        <row r="995"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</row>
        <row r="996"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</row>
        <row r="997"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</row>
        <row r="998"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</row>
        <row r="999"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</row>
        <row r="1000"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</row>
        <row r="1001"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</row>
        <row r="1002"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</row>
        <row r="1003"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</row>
        <row r="1004"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</row>
        <row r="1005"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</row>
        <row r="1006"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</row>
        <row r="1007"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</row>
        <row r="1008"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</row>
        <row r="1009"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</row>
        <row r="1010"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</row>
        <row r="1011"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</row>
        <row r="1012"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</row>
        <row r="1013"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</row>
        <row r="1014"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</row>
        <row r="1015"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</row>
        <row r="1016"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</row>
        <row r="1017"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</row>
        <row r="1018"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</row>
        <row r="1019"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</row>
        <row r="1020">
          <cell r="D1020" t="str">
            <v/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</row>
        <row r="1021">
          <cell r="D1021" t="str">
            <v/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</row>
        <row r="1022">
          <cell r="D1022" t="str">
            <v/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</row>
        <row r="1023">
          <cell r="D1023" t="str">
            <v/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</row>
        <row r="1024">
          <cell r="D1024" t="str">
            <v/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</row>
        <row r="1025">
          <cell r="D1025" t="str">
            <v/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</row>
        <row r="1026">
          <cell r="D1026" t="str">
            <v/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</row>
        <row r="1027">
          <cell r="D1027" t="str">
            <v/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</row>
        <row r="1028">
          <cell r="D1028" t="str">
            <v/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</row>
        <row r="1029">
          <cell r="D1029" t="str">
            <v/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</row>
        <row r="1030">
          <cell r="D1030" t="str">
            <v/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</row>
        <row r="1031">
          <cell r="D1031" t="str">
            <v/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</row>
        <row r="1032">
          <cell r="D1032" t="str">
            <v/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</row>
        <row r="1033">
          <cell r="D1033" t="str">
            <v/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</row>
        <row r="1034">
          <cell r="D1034" t="str">
            <v/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</row>
        <row r="1035">
          <cell r="D1035" t="str">
            <v/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</row>
        <row r="1036">
          <cell r="D1036" t="str">
            <v/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</row>
        <row r="1037">
          <cell r="D1037" t="str">
            <v/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</row>
        <row r="1038">
          <cell r="D1038" t="str">
            <v/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</row>
        <row r="1039">
          <cell r="D1039" t="str">
            <v/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</row>
        <row r="1040">
          <cell r="D1040" t="str">
            <v/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</row>
        <row r="1041">
          <cell r="D1041" t="str">
            <v/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</row>
        <row r="1042">
          <cell r="D1042" t="str">
            <v/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</row>
        <row r="1043">
          <cell r="D1043" t="str">
            <v/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</row>
        <row r="1044">
          <cell r="D1044" t="str">
            <v/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</row>
        <row r="1045">
          <cell r="D1045" t="str">
            <v/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</row>
        <row r="1046">
          <cell r="D1046" t="str">
            <v/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</row>
        <row r="1047">
          <cell r="D1047" t="str">
            <v/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</row>
        <row r="1048"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</row>
        <row r="1049"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</row>
        <row r="1050">
          <cell r="D1050" t="str">
            <v/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</row>
        <row r="1051">
          <cell r="D1051" t="str">
            <v/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</row>
        <row r="1052">
          <cell r="D1052" t="str">
            <v/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</row>
        <row r="1053">
          <cell r="D1053" t="str">
            <v/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</row>
        <row r="1054">
          <cell r="D1054" t="str">
            <v/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</row>
        <row r="1055">
          <cell r="D1055" t="str">
            <v/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</row>
        <row r="1056">
          <cell r="D1056" t="str">
            <v/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</row>
        <row r="1057">
          <cell r="D1057" t="str">
            <v/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</row>
        <row r="1058">
          <cell r="D1058" t="str">
            <v/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</row>
        <row r="1059">
          <cell r="D1059" t="str">
            <v/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</row>
        <row r="1060">
          <cell r="D1060" t="str">
            <v/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</row>
        <row r="1061">
          <cell r="D1061" t="str">
            <v/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</row>
        <row r="1062">
          <cell r="D1062" t="str">
            <v/>
          </cell>
          <cell r="E1062" t="str">
            <v/>
          </cell>
          <cell r="F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</row>
        <row r="1063">
          <cell r="D1063" t="str">
            <v/>
          </cell>
          <cell r="E1063" t="str">
            <v/>
          </cell>
          <cell r="F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</row>
        <row r="1064">
          <cell r="D1064" t="str">
            <v/>
          </cell>
          <cell r="E1064" t="str">
            <v/>
          </cell>
          <cell r="F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</row>
        <row r="1065">
          <cell r="D1065" t="str">
            <v/>
          </cell>
          <cell r="E1065" t="str">
            <v/>
          </cell>
          <cell r="F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</row>
        <row r="1066">
          <cell r="D1066" t="str">
            <v/>
          </cell>
          <cell r="E1066" t="str">
            <v/>
          </cell>
          <cell r="F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</row>
        <row r="1067">
          <cell r="D1067" t="str">
            <v/>
          </cell>
          <cell r="E1067" t="str">
            <v/>
          </cell>
          <cell r="F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</row>
        <row r="1068">
          <cell r="D1068" t="str">
            <v/>
          </cell>
          <cell r="E1068" t="str">
            <v/>
          </cell>
          <cell r="F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</row>
        <row r="1069">
          <cell r="D1069" t="str">
            <v/>
          </cell>
          <cell r="E1069" t="str">
            <v/>
          </cell>
          <cell r="F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</row>
        <row r="1070">
          <cell r="D1070" t="str">
            <v/>
          </cell>
          <cell r="E1070" t="str">
            <v/>
          </cell>
          <cell r="F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</row>
        <row r="1071">
          <cell r="D1071" t="str">
            <v/>
          </cell>
          <cell r="E1071" t="str">
            <v/>
          </cell>
          <cell r="F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</row>
        <row r="1072">
          <cell r="D1072" t="str">
            <v/>
          </cell>
          <cell r="E1072" t="str">
            <v/>
          </cell>
          <cell r="F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</row>
        <row r="1073">
          <cell r="D1073" t="str">
            <v/>
          </cell>
          <cell r="E1073" t="str">
            <v/>
          </cell>
          <cell r="F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</row>
        <row r="1074">
          <cell r="D1074" t="str">
            <v/>
          </cell>
          <cell r="E1074" t="str">
            <v/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</row>
        <row r="1075">
          <cell r="D1075" t="str">
            <v/>
          </cell>
          <cell r="E1075" t="str">
            <v/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</row>
        <row r="1076">
          <cell r="D1076" t="str">
            <v/>
          </cell>
          <cell r="E1076" t="str">
            <v/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</row>
        <row r="1077">
          <cell r="D1077" t="str">
            <v/>
          </cell>
          <cell r="E1077" t="str">
            <v/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</row>
        <row r="1078">
          <cell r="D1078" t="str">
            <v/>
          </cell>
          <cell r="E1078" t="str">
            <v/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</row>
        <row r="1079">
          <cell r="D1079" t="str">
            <v/>
          </cell>
          <cell r="E1079" t="str">
            <v/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</row>
        <row r="1080">
          <cell r="D1080" t="str">
            <v/>
          </cell>
          <cell r="E1080" t="str">
            <v/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</row>
        <row r="1081">
          <cell r="D1081" t="str">
            <v/>
          </cell>
          <cell r="E1081" t="str">
            <v/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</row>
        <row r="1082">
          <cell r="D1082" t="str">
            <v/>
          </cell>
          <cell r="E1082" t="str">
            <v/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</row>
        <row r="1083">
          <cell r="D1083" t="str">
            <v/>
          </cell>
          <cell r="E1083" t="str">
            <v/>
          </cell>
          <cell r="F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</row>
        <row r="1084">
          <cell r="D1084" t="str">
            <v/>
          </cell>
          <cell r="E1084" t="str">
            <v/>
          </cell>
          <cell r="F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</row>
        <row r="1085">
          <cell r="D1085" t="str">
            <v/>
          </cell>
          <cell r="E1085" t="str">
            <v/>
          </cell>
          <cell r="F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</row>
        <row r="1086">
          <cell r="D1086" t="str">
            <v/>
          </cell>
          <cell r="E1086" t="str">
            <v/>
          </cell>
          <cell r="F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</row>
        <row r="1087">
          <cell r="D1087" t="str">
            <v/>
          </cell>
          <cell r="E1087" t="str">
            <v/>
          </cell>
          <cell r="F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</row>
        <row r="1088">
          <cell r="D1088" t="str">
            <v/>
          </cell>
          <cell r="E1088" t="str">
            <v/>
          </cell>
          <cell r="F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</row>
        <row r="1089">
          <cell r="D1089" t="str">
            <v/>
          </cell>
          <cell r="E1089" t="str">
            <v/>
          </cell>
          <cell r="F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</row>
        <row r="1090">
          <cell r="D1090" t="str">
            <v/>
          </cell>
          <cell r="E1090" t="str">
            <v/>
          </cell>
          <cell r="F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</row>
        <row r="1091">
          <cell r="D1091" t="str">
            <v/>
          </cell>
          <cell r="E1091" t="str">
            <v/>
          </cell>
          <cell r="F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</row>
        <row r="1092">
          <cell r="D1092" t="str">
            <v/>
          </cell>
          <cell r="E1092" t="str">
            <v/>
          </cell>
          <cell r="F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</row>
        <row r="1093">
          <cell r="D1093" t="str">
            <v/>
          </cell>
          <cell r="E1093" t="str">
            <v/>
          </cell>
          <cell r="F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</row>
        <row r="1094">
          <cell r="D1094" t="str">
            <v/>
          </cell>
          <cell r="E1094" t="str">
            <v/>
          </cell>
          <cell r="F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</row>
        <row r="1095">
          <cell r="D1095" t="str">
            <v/>
          </cell>
          <cell r="E1095" t="str">
            <v/>
          </cell>
          <cell r="F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</row>
        <row r="1096">
          <cell r="D1096" t="str">
            <v/>
          </cell>
          <cell r="E1096" t="str">
            <v/>
          </cell>
          <cell r="F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</row>
        <row r="1097">
          <cell r="D1097" t="str">
            <v/>
          </cell>
          <cell r="E1097" t="str">
            <v/>
          </cell>
          <cell r="F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</row>
        <row r="1098">
          <cell r="D1098" t="str">
            <v/>
          </cell>
          <cell r="E1098" t="str">
            <v/>
          </cell>
          <cell r="F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</row>
        <row r="1099">
          <cell r="D1099" t="str">
            <v/>
          </cell>
          <cell r="E1099" t="str">
            <v/>
          </cell>
          <cell r="F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</row>
        <row r="1100">
          <cell r="D1100" t="str">
            <v/>
          </cell>
          <cell r="E1100" t="str">
            <v/>
          </cell>
          <cell r="F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</row>
        <row r="1101">
          <cell r="D1101" t="str">
            <v/>
          </cell>
          <cell r="E1101" t="str">
            <v/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</row>
        <row r="1102">
          <cell r="D1102" t="str">
            <v/>
          </cell>
          <cell r="E1102" t="str">
            <v/>
          </cell>
          <cell r="F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</row>
        <row r="1103">
          <cell r="D1103" t="str">
            <v/>
          </cell>
          <cell r="E1103" t="str">
            <v/>
          </cell>
          <cell r="F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</row>
        <row r="1104">
          <cell r="D1104" t="str">
            <v/>
          </cell>
          <cell r="E1104" t="str">
            <v/>
          </cell>
          <cell r="F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</row>
        <row r="1105">
          <cell r="D1105" t="str">
            <v/>
          </cell>
          <cell r="E1105" t="str">
            <v/>
          </cell>
          <cell r="F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</row>
        <row r="1106">
          <cell r="D1106" t="str">
            <v/>
          </cell>
          <cell r="E1106" t="str">
            <v/>
          </cell>
          <cell r="F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</row>
        <row r="1107">
          <cell r="D1107" t="str">
            <v/>
          </cell>
          <cell r="E1107" t="str">
            <v/>
          </cell>
          <cell r="F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</row>
        <row r="1108">
          <cell r="D1108" t="str">
            <v/>
          </cell>
          <cell r="E1108" t="str">
            <v/>
          </cell>
          <cell r="F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</row>
        <row r="1109">
          <cell r="D1109" t="str">
            <v/>
          </cell>
          <cell r="E1109" t="str">
            <v/>
          </cell>
          <cell r="F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</row>
        <row r="1110">
          <cell r="D1110" t="str">
            <v/>
          </cell>
          <cell r="E1110" t="str">
            <v/>
          </cell>
          <cell r="F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</row>
        <row r="1111">
          <cell r="D1111" t="str">
            <v/>
          </cell>
          <cell r="E1111" t="str">
            <v/>
          </cell>
          <cell r="F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</row>
        <row r="1112">
          <cell r="D1112" t="str">
            <v/>
          </cell>
          <cell r="E1112" t="str">
            <v/>
          </cell>
          <cell r="F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</row>
        <row r="1113">
          <cell r="D1113" t="str">
            <v/>
          </cell>
          <cell r="E1113" t="str">
            <v/>
          </cell>
          <cell r="F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</row>
        <row r="1114">
          <cell r="D1114" t="str">
            <v/>
          </cell>
          <cell r="E1114" t="str">
            <v/>
          </cell>
          <cell r="F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</row>
        <row r="1115">
          <cell r="D1115" t="str">
            <v/>
          </cell>
          <cell r="E1115" t="str">
            <v/>
          </cell>
          <cell r="F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</row>
        <row r="1116">
          <cell r="D1116" t="str">
            <v/>
          </cell>
          <cell r="E1116" t="str">
            <v/>
          </cell>
          <cell r="F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</row>
        <row r="1117">
          <cell r="D1117" t="str">
            <v/>
          </cell>
          <cell r="E1117" t="str">
            <v/>
          </cell>
          <cell r="F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</row>
        <row r="1118">
          <cell r="D1118" t="str">
            <v/>
          </cell>
          <cell r="E1118" t="str">
            <v/>
          </cell>
          <cell r="F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</row>
        <row r="1119">
          <cell r="D1119" t="str">
            <v/>
          </cell>
          <cell r="E1119" t="str">
            <v/>
          </cell>
          <cell r="F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</row>
        <row r="1120">
          <cell r="D1120" t="str">
            <v/>
          </cell>
          <cell r="E1120" t="str">
            <v/>
          </cell>
          <cell r="F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</row>
        <row r="1121">
          <cell r="D1121" t="str">
            <v/>
          </cell>
          <cell r="E1121" t="str">
            <v/>
          </cell>
          <cell r="F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</row>
        <row r="1122">
          <cell r="D1122" t="str">
            <v/>
          </cell>
          <cell r="E1122" t="str">
            <v/>
          </cell>
          <cell r="F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</row>
        <row r="1123">
          <cell r="D1123" t="str">
            <v/>
          </cell>
          <cell r="E1123" t="str">
            <v/>
          </cell>
          <cell r="F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</row>
        <row r="1124">
          <cell r="D1124" t="str">
            <v/>
          </cell>
          <cell r="E1124" t="str">
            <v/>
          </cell>
          <cell r="F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</row>
        <row r="1125">
          <cell r="D1125" t="str">
            <v/>
          </cell>
          <cell r="E1125" t="str">
            <v/>
          </cell>
          <cell r="F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</row>
        <row r="1126">
          <cell r="D1126" t="str">
            <v/>
          </cell>
          <cell r="E1126" t="str">
            <v/>
          </cell>
          <cell r="F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</row>
        <row r="1127">
          <cell r="D1127" t="str">
            <v/>
          </cell>
          <cell r="E1127" t="str">
            <v/>
          </cell>
          <cell r="F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</row>
        <row r="1128">
          <cell r="D1128" t="str">
            <v/>
          </cell>
          <cell r="E1128" t="str">
            <v/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</row>
        <row r="1129">
          <cell r="D1129" t="str">
            <v/>
          </cell>
          <cell r="E1129" t="str">
            <v/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</row>
        <row r="1130">
          <cell r="D1130" t="str">
            <v/>
          </cell>
          <cell r="E1130" t="str">
            <v/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</row>
        <row r="1131">
          <cell r="D1131" t="str">
            <v/>
          </cell>
          <cell r="E1131" t="str">
            <v/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</row>
        <row r="1132">
          <cell r="D1132" t="str">
            <v/>
          </cell>
          <cell r="E1132" t="str">
            <v/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</row>
        <row r="1133">
          <cell r="D1133" t="str">
            <v/>
          </cell>
          <cell r="E1133" t="str">
            <v/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</row>
        <row r="1134">
          <cell r="D1134" t="str">
            <v/>
          </cell>
          <cell r="E1134" t="str">
            <v/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</row>
        <row r="1135">
          <cell r="D1135" t="str">
            <v/>
          </cell>
          <cell r="E1135" t="str">
            <v/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</row>
        <row r="1136">
          <cell r="D1136" t="str">
            <v/>
          </cell>
          <cell r="E1136" t="str">
            <v/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</row>
        <row r="1137">
          <cell r="D1137" t="str">
            <v/>
          </cell>
          <cell r="E1137" t="str">
            <v/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</row>
        <row r="1138">
          <cell r="D1138" t="str">
            <v/>
          </cell>
          <cell r="E1138" t="str">
            <v/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</row>
        <row r="1139">
          <cell r="D1139" t="str">
            <v/>
          </cell>
          <cell r="E1139" t="str">
            <v/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</row>
        <row r="1140">
          <cell r="D1140" t="str">
            <v/>
          </cell>
          <cell r="E1140" t="str">
            <v/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</row>
        <row r="1141">
          <cell r="D1141" t="str">
            <v/>
          </cell>
          <cell r="E1141" t="str">
            <v/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</row>
        <row r="1142">
          <cell r="D1142" t="str">
            <v/>
          </cell>
          <cell r="E1142" t="str">
            <v/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</row>
        <row r="1143">
          <cell r="D1143" t="str">
            <v/>
          </cell>
          <cell r="E1143" t="str">
            <v/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</row>
        <row r="1144">
          <cell r="D1144" t="str">
            <v/>
          </cell>
          <cell r="E1144" t="str">
            <v/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</row>
        <row r="1145">
          <cell r="D1145" t="str">
            <v/>
          </cell>
          <cell r="E1145" t="str">
            <v/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</row>
        <row r="1146">
          <cell r="D1146" t="str">
            <v/>
          </cell>
          <cell r="E1146" t="str">
            <v/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</row>
        <row r="1147">
          <cell r="D1147" t="str">
            <v/>
          </cell>
          <cell r="E1147" t="str">
            <v/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</row>
        <row r="1148">
          <cell r="D1148" t="str">
            <v/>
          </cell>
          <cell r="E1148" t="str">
            <v/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</row>
        <row r="1149">
          <cell r="D1149" t="str">
            <v/>
          </cell>
          <cell r="E1149" t="str">
            <v/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</row>
        <row r="1150">
          <cell r="D1150" t="str">
            <v/>
          </cell>
          <cell r="E1150" t="str">
            <v/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</row>
        <row r="1151">
          <cell r="D1151" t="str">
            <v/>
          </cell>
          <cell r="E1151" t="str">
            <v/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</row>
        <row r="1152">
          <cell r="D1152" t="str">
            <v/>
          </cell>
          <cell r="E1152" t="str">
            <v/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</row>
        <row r="1153">
          <cell r="D1153" t="str">
            <v/>
          </cell>
          <cell r="E1153" t="str">
            <v/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</row>
        <row r="1154">
          <cell r="D1154" t="str">
            <v/>
          </cell>
          <cell r="E1154" t="str">
            <v/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</row>
        <row r="1155">
          <cell r="D1155" t="str">
            <v/>
          </cell>
          <cell r="E1155" t="str">
            <v/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</row>
        <row r="1156">
          <cell r="D1156" t="str">
            <v/>
          </cell>
          <cell r="E1156" t="str">
            <v/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</row>
        <row r="1157">
          <cell r="D1157" t="str">
            <v/>
          </cell>
          <cell r="E1157" t="str">
            <v/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</row>
        <row r="1158">
          <cell r="D1158" t="str">
            <v/>
          </cell>
          <cell r="E1158" t="str">
            <v/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</row>
        <row r="1159">
          <cell r="D1159" t="str">
            <v/>
          </cell>
          <cell r="E1159" t="str">
            <v/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</row>
        <row r="1160">
          <cell r="D1160" t="str">
            <v/>
          </cell>
          <cell r="E1160" t="str">
            <v/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</row>
        <row r="1161">
          <cell r="D1161" t="str">
            <v/>
          </cell>
          <cell r="E1161" t="str">
            <v/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</row>
        <row r="1162">
          <cell r="D1162" t="str">
            <v/>
          </cell>
          <cell r="E1162" t="str">
            <v/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</row>
        <row r="1163">
          <cell r="D1163" t="str">
            <v/>
          </cell>
          <cell r="E1163" t="str">
            <v/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</row>
        <row r="1164">
          <cell r="D1164" t="str">
            <v/>
          </cell>
          <cell r="E1164" t="str">
            <v/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</row>
        <row r="1165">
          <cell r="D1165" t="str">
            <v/>
          </cell>
          <cell r="E1165" t="str">
            <v/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</row>
        <row r="1166">
          <cell r="D1166" t="str">
            <v/>
          </cell>
          <cell r="E1166" t="str">
            <v/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</row>
        <row r="1167">
          <cell r="D1167" t="str">
            <v/>
          </cell>
          <cell r="E1167" t="str">
            <v/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</row>
        <row r="1168">
          <cell r="D1168" t="str">
            <v/>
          </cell>
          <cell r="E1168" t="str">
            <v/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</row>
        <row r="1169">
          <cell r="D1169" t="str">
            <v/>
          </cell>
          <cell r="E1169" t="str">
            <v/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</row>
        <row r="1170">
          <cell r="D1170" t="str">
            <v/>
          </cell>
          <cell r="E1170" t="str">
            <v/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</row>
        <row r="1171">
          <cell r="D1171" t="str">
            <v/>
          </cell>
          <cell r="E1171" t="str">
            <v/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</row>
        <row r="1172">
          <cell r="D1172" t="str">
            <v/>
          </cell>
          <cell r="E1172" t="str">
            <v/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</row>
        <row r="1173">
          <cell r="D1173" t="str">
            <v/>
          </cell>
          <cell r="E1173" t="str">
            <v/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</row>
        <row r="1174">
          <cell r="D1174" t="str">
            <v/>
          </cell>
          <cell r="E1174" t="str">
            <v/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</row>
        <row r="1175">
          <cell r="D1175" t="str">
            <v/>
          </cell>
          <cell r="E1175" t="str">
            <v/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</row>
        <row r="1176">
          <cell r="D1176" t="str">
            <v/>
          </cell>
          <cell r="E1176" t="str">
            <v/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</row>
        <row r="1177">
          <cell r="D1177" t="str">
            <v/>
          </cell>
          <cell r="E1177" t="str">
            <v/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</row>
        <row r="1178">
          <cell r="D1178" t="str">
            <v/>
          </cell>
          <cell r="E1178" t="str">
            <v/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</row>
        <row r="1179">
          <cell r="D1179" t="str">
            <v/>
          </cell>
          <cell r="E1179" t="str">
            <v/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</row>
        <row r="1180">
          <cell r="D1180" t="str">
            <v/>
          </cell>
          <cell r="E1180" t="str">
            <v/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</row>
        <row r="1181">
          <cell r="D1181" t="str">
            <v/>
          </cell>
          <cell r="E1181" t="str">
            <v/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</row>
        <row r="1182">
          <cell r="D1182" t="str">
            <v/>
          </cell>
          <cell r="E1182" t="str">
            <v/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</row>
        <row r="1183">
          <cell r="D1183" t="str">
            <v/>
          </cell>
          <cell r="E1183" t="str">
            <v/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</row>
        <row r="1184">
          <cell r="D1184" t="str">
            <v/>
          </cell>
          <cell r="E1184" t="str">
            <v/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</row>
        <row r="1185">
          <cell r="D1185" t="str">
            <v/>
          </cell>
          <cell r="E1185" t="str">
            <v/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</row>
        <row r="1186">
          <cell r="D1186" t="str">
            <v/>
          </cell>
          <cell r="E1186" t="str">
            <v/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</row>
        <row r="1187">
          <cell r="D1187" t="str">
            <v/>
          </cell>
          <cell r="E1187" t="str">
            <v/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</row>
        <row r="1188">
          <cell r="D1188" t="str">
            <v/>
          </cell>
          <cell r="E1188" t="str">
            <v/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</row>
        <row r="1189">
          <cell r="D1189" t="str">
            <v/>
          </cell>
          <cell r="E1189" t="str">
            <v/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</row>
        <row r="1190">
          <cell r="D1190" t="str">
            <v/>
          </cell>
          <cell r="E1190" t="str">
            <v/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</row>
        <row r="1191">
          <cell r="D1191" t="str">
            <v/>
          </cell>
          <cell r="E1191" t="str">
            <v/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</row>
        <row r="1192">
          <cell r="D1192" t="str">
            <v/>
          </cell>
          <cell r="E1192" t="str">
            <v/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</row>
        <row r="1193">
          <cell r="D1193" t="str">
            <v/>
          </cell>
          <cell r="E1193" t="str">
            <v/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</row>
        <row r="1194">
          <cell r="D1194" t="str">
            <v/>
          </cell>
          <cell r="E1194" t="str">
            <v/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</row>
        <row r="1195">
          <cell r="D1195" t="str">
            <v/>
          </cell>
          <cell r="E1195" t="str">
            <v/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</row>
        <row r="1196">
          <cell r="D1196" t="str">
            <v/>
          </cell>
          <cell r="E1196" t="str">
            <v/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</row>
        <row r="1197">
          <cell r="D1197" t="str">
            <v/>
          </cell>
          <cell r="E1197" t="str">
            <v/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</row>
        <row r="1198">
          <cell r="D1198" t="str">
            <v/>
          </cell>
          <cell r="E1198" t="str">
            <v/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</row>
        <row r="1199">
          <cell r="D1199" t="str">
            <v/>
          </cell>
          <cell r="E1199" t="str">
            <v/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</row>
        <row r="1200">
          <cell r="D1200" t="str">
            <v/>
          </cell>
          <cell r="E1200" t="str">
            <v/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</row>
        <row r="1201">
          <cell r="D1201" t="str">
            <v/>
          </cell>
          <cell r="E1201" t="str">
            <v/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</row>
        <row r="1202">
          <cell r="D1202" t="str">
            <v/>
          </cell>
          <cell r="E1202" t="str">
            <v/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</row>
        <row r="1203">
          <cell r="D1203" t="str">
            <v/>
          </cell>
          <cell r="E1203" t="str">
            <v/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</row>
        <row r="1204">
          <cell r="D1204" t="str">
            <v/>
          </cell>
          <cell r="E1204" t="str">
            <v/>
          </cell>
          <cell r="F1204" t="str">
            <v/>
          </cell>
          <cell r="G1204" t="str">
            <v/>
          </cell>
          <cell r="H1204" t="str">
            <v/>
          </cell>
          <cell r="I1204" t="str">
            <v/>
          </cell>
          <cell r="J1204" t="str">
            <v/>
          </cell>
          <cell r="K1204" t="str">
            <v/>
          </cell>
          <cell r="L1204" t="str">
            <v/>
          </cell>
          <cell r="M1204" t="str">
            <v/>
          </cell>
          <cell r="N1204" t="str">
            <v/>
          </cell>
          <cell r="O1204" t="str">
            <v/>
          </cell>
        </row>
        <row r="1205">
          <cell r="D1205" t="str">
            <v/>
          </cell>
          <cell r="E1205" t="str">
            <v/>
          </cell>
          <cell r="F1205" t="str">
            <v/>
          </cell>
          <cell r="G1205" t="str">
            <v/>
          </cell>
          <cell r="H1205" t="str">
            <v/>
          </cell>
          <cell r="I1205" t="str">
            <v/>
          </cell>
          <cell r="J1205" t="str">
            <v/>
          </cell>
          <cell r="K1205" t="str">
            <v/>
          </cell>
          <cell r="L1205" t="str">
            <v/>
          </cell>
          <cell r="M1205" t="str">
            <v/>
          </cell>
          <cell r="N1205" t="str">
            <v/>
          </cell>
          <cell r="O1205" t="str">
            <v/>
          </cell>
        </row>
        <row r="1206">
          <cell r="D1206" t="str">
            <v/>
          </cell>
          <cell r="E1206" t="str">
            <v/>
          </cell>
          <cell r="F1206" t="str">
            <v/>
          </cell>
          <cell r="G1206" t="str">
            <v/>
          </cell>
          <cell r="H1206" t="str">
            <v/>
          </cell>
          <cell r="I1206" t="str">
            <v/>
          </cell>
          <cell r="J1206" t="str">
            <v/>
          </cell>
          <cell r="K1206" t="str">
            <v/>
          </cell>
          <cell r="L1206" t="str">
            <v/>
          </cell>
          <cell r="M1206" t="str">
            <v/>
          </cell>
          <cell r="N1206" t="str">
            <v/>
          </cell>
          <cell r="O1206" t="str">
            <v/>
          </cell>
        </row>
        <row r="1207">
          <cell r="D1207" t="str">
            <v/>
          </cell>
          <cell r="E1207" t="str">
            <v/>
          </cell>
          <cell r="F1207" t="str">
            <v/>
          </cell>
          <cell r="G1207" t="str">
            <v/>
          </cell>
          <cell r="H1207" t="str">
            <v/>
          </cell>
          <cell r="I1207" t="str">
            <v/>
          </cell>
          <cell r="J1207" t="str">
            <v/>
          </cell>
          <cell r="K1207" t="str">
            <v/>
          </cell>
          <cell r="L1207" t="str">
            <v/>
          </cell>
          <cell r="M1207" t="str">
            <v/>
          </cell>
          <cell r="N1207" t="str">
            <v/>
          </cell>
          <cell r="O1207" t="str">
            <v/>
          </cell>
        </row>
        <row r="1208">
          <cell r="D1208" t="str">
            <v/>
          </cell>
          <cell r="E1208" t="str">
            <v/>
          </cell>
          <cell r="F1208" t="str">
            <v/>
          </cell>
          <cell r="G1208" t="str">
            <v/>
          </cell>
          <cell r="H1208" t="str">
            <v/>
          </cell>
          <cell r="I1208" t="str">
            <v/>
          </cell>
          <cell r="J1208" t="str">
            <v/>
          </cell>
          <cell r="K1208" t="str">
            <v/>
          </cell>
          <cell r="L1208" t="str">
            <v/>
          </cell>
          <cell r="M1208" t="str">
            <v/>
          </cell>
          <cell r="N1208" t="str">
            <v/>
          </cell>
          <cell r="O1208" t="str">
            <v/>
          </cell>
        </row>
        <row r="1209">
          <cell r="D1209" t="str">
            <v/>
          </cell>
          <cell r="E1209" t="str">
            <v/>
          </cell>
          <cell r="F1209" t="str">
            <v/>
          </cell>
          <cell r="G1209" t="str">
            <v/>
          </cell>
          <cell r="H1209" t="str">
            <v/>
          </cell>
          <cell r="I1209" t="str">
            <v/>
          </cell>
          <cell r="J1209" t="str">
            <v/>
          </cell>
          <cell r="K1209" t="str">
            <v/>
          </cell>
          <cell r="L1209" t="str">
            <v/>
          </cell>
          <cell r="M1209" t="str">
            <v/>
          </cell>
          <cell r="N1209" t="str">
            <v/>
          </cell>
          <cell r="O1209" t="str">
            <v/>
          </cell>
        </row>
        <row r="1210">
          <cell r="D1210" t="str">
            <v/>
          </cell>
          <cell r="E1210" t="str">
            <v/>
          </cell>
          <cell r="F1210" t="str">
            <v/>
          </cell>
          <cell r="G1210" t="str">
            <v/>
          </cell>
          <cell r="H1210" t="str">
            <v/>
          </cell>
          <cell r="I1210" t="str">
            <v/>
          </cell>
          <cell r="J1210" t="str">
            <v/>
          </cell>
          <cell r="K1210" t="str">
            <v/>
          </cell>
          <cell r="L1210" t="str">
            <v/>
          </cell>
          <cell r="M1210" t="str">
            <v/>
          </cell>
          <cell r="N1210" t="str">
            <v/>
          </cell>
          <cell r="O1210" t="str">
            <v/>
          </cell>
        </row>
        <row r="1211">
          <cell r="D1211" t="str">
            <v/>
          </cell>
          <cell r="E1211" t="str">
            <v/>
          </cell>
          <cell r="F1211" t="str">
            <v/>
          </cell>
          <cell r="G1211" t="str">
            <v/>
          </cell>
          <cell r="H1211" t="str">
            <v/>
          </cell>
          <cell r="I1211" t="str">
            <v/>
          </cell>
          <cell r="J1211" t="str">
            <v/>
          </cell>
          <cell r="K1211" t="str">
            <v/>
          </cell>
          <cell r="L1211" t="str">
            <v/>
          </cell>
          <cell r="M1211" t="str">
            <v/>
          </cell>
          <cell r="N1211" t="str">
            <v/>
          </cell>
          <cell r="O1211" t="str">
            <v/>
          </cell>
        </row>
        <row r="1212">
          <cell r="D1212" t="str">
            <v/>
          </cell>
          <cell r="E1212" t="str">
            <v/>
          </cell>
          <cell r="F1212" t="str">
            <v/>
          </cell>
          <cell r="G1212" t="str">
            <v/>
          </cell>
          <cell r="H1212" t="str">
            <v/>
          </cell>
          <cell r="I1212" t="str">
            <v/>
          </cell>
          <cell r="J1212" t="str">
            <v/>
          </cell>
          <cell r="K1212" t="str">
            <v/>
          </cell>
          <cell r="L1212" t="str">
            <v/>
          </cell>
          <cell r="M1212" t="str">
            <v/>
          </cell>
          <cell r="N1212" t="str">
            <v/>
          </cell>
          <cell r="O1212" t="str">
            <v/>
          </cell>
        </row>
        <row r="1213">
          <cell r="D1213" t="str">
            <v/>
          </cell>
          <cell r="E1213" t="str">
            <v/>
          </cell>
          <cell r="F1213" t="str">
            <v/>
          </cell>
          <cell r="G1213" t="str">
            <v/>
          </cell>
          <cell r="H1213" t="str">
            <v/>
          </cell>
          <cell r="I1213" t="str">
            <v/>
          </cell>
          <cell r="J1213" t="str">
            <v/>
          </cell>
          <cell r="K1213" t="str">
            <v/>
          </cell>
          <cell r="L1213" t="str">
            <v/>
          </cell>
          <cell r="M1213" t="str">
            <v/>
          </cell>
          <cell r="N1213" t="str">
            <v/>
          </cell>
          <cell r="O1213" t="str">
            <v/>
          </cell>
        </row>
        <row r="1214">
          <cell r="D1214" t="str">
            <v/>
          </cell>
          <cell r="E1214" t="str">
            <v/>
          </cell>
          <cell r="F1214" t="str">
            <v/>
          </cell>
          <cell r="G1214" t="str">
            <v/>
          </cell>
          <cell r="H1214" t="str">
            <v/>
          </cell>
          <cell r="I1214" t="str">
            <v/>
          </cell>
          <cell r="J1214" t="str">
            <v/>
          </cell>
          <cell r="K1214" t="str">
            <v/>
          </cell>
          <cell r="L1214" t="str">
            <v/>
          </cell>
          <cell r="M1214" t="str">
            <v/>
          </cell>
          <cell r="N1214" t="str">
            <v/>
          </cell>
          <cell r="O1214" t="str">
            <v/>
          </cell>
        </row>
        <row r="1215">
          <cell r="D1215" t="str">
            <v/>
          </cell>
          <cell r="E1215" t="str">
            <v/>
          </cell>
          <cell r="F1215" t="str">
            <v/>
          </cell>
          <cell r="G1215" t="str">
            <v/>
          </cell>
          <cell r="H1215" t="str">
            <v/>
          </cell>
          <cell r="I1215" t="str">
            <v/>
          </cell>
          <cell r="J1215" t="str">
            <v/>
          </cell>
          <cell r="K1215" t="str">
            <v/>
          </cell>
          <cell r="L1215" t="str">
            <v/>
          </cell>
          <cell r="M1215" t="str">
            <v/>
          </cell>
          <cell r="N1215" t="str">
            <v/>
          </cell>
          <cell r="O1215" t="str">
            <v/>
          </cell>
        </row>
        <row r="1216">
          <cell r="D1216" t="str">
            <v/>
          </cell>
          <cell r="E1216" t="str">
            <v/>
          </cell>
          <cell r="F1216" t="str">
            <v/>
          </cell>
          <cell r="G1216" t="str">
            <v/>
          </cell>
          <cell r="H1216" t="str">
            <v/>
          </cell>
          <cell r="I1216" t="str">
            <v/>
          </cell>
          <cell r="J1216" t="str">
            <v/>
          </cell>
          <cell r="K1216" t="str">
            <v/>
          </cell>
          <cell r="L1216" t="str">
            <v/>
          </cell>
          <cell r="M1216" t="str">
            <v/>
          </cell>
          <cell r="N1216" t="str">
            <v/>
          </cell>
          <cell r="O1216" t="str">
            <v/>
          </cell>
        </row>
        <row r="1217">
          <cell r="D1217" t="str">
            <v/>
          </cell>
          <cell r="E1217" t="str">
            <v/>
          </cell>
          <cell r="F1217" t="str">
            <v/>
          </cell>
          <cell r="G1217" t="str">
            <v/>
          </cell>
          <cell r="H1217" t="str">
            <v/>
          </cell>
          <cell r="I1217" t="str">
            <v/>
          </cell>
          <cell r="J1217" t="str">
            <v/>
          </cell>
          <cell r="K1217" t="str">
            <v/>
          </cell>
          <cell r="L1217" t="str">
            <v/>
          </cell>
          <cell r="M1217" t="str">
            <v/>
          </cell>
          <cell r="N1217" t="str">
            <v/>
          </cell>
          <cell r="O1217" t="str">
            <v/>
          </cell>
        </row>
        <row r="1218">
          <cell r="D1218" t="str">
            <v/>
          </cell>
          <cell r="E1218" t="str">
            <v/>
          </cell>
          <cell r="F1218" t="str">
            <v/>
          </cell>
          <cell r="G1218" t="str">
            <v/>
          </cell>
          <cell r="H1218" t="str">
            <v/>
          </cell>
          <cell r="I1218" t="str">
            <v/>
          </cell>
          <cell r="J1218" t="str">
            <v/>
          </cell>
          <cell r="K1218" t="str">
            <v/>
          </cell>
          <cell r="L1218" t="str">
            <v/>
          </cell>
          <cell r="M1218" t="str">
            <v/>
          </cell>
          <cell r="N1218" t="str">
            <v/>
          </cell>
          <cell r="O1218" t="str">
            <v/>
          </cell>
        </row>
        <row r="1219">
          <cell r="D1219" t="str">
            <v/>
          </cell>
          <cell r="E1219" t="str">
            <v/>
          </cell>
          <cell r="F1219" t="str">
            <v/>
          </cell>
          <cell r="G1219" t="str">
            <v/>
          </cell>
          <cell r="H1219" t="str">
            <v/>
          </cell>
          <cell r="I1219" t="str">
            <v/>
          </cell>
          <cell r="J1219" t="str">
            <v/>
          </cell>
          <cell r="K1219" t="str">
            <v/>
          </cell>
          <cell r="L1219" t="str">
            <v/>
          </cell>
          <cell r="M1219" t="str">
            <v/>
          </cell>
          <cell r="N1219" t="str">
            <v/>
          </cell>
          <cell r="O1219" t="str">
            <v/>
          </cell>
        </row>
        <row r="1220">
          <cell r="D1220" t="str">
            <v/>
          </cell>
          <cell r="E1220" t="str">
            <v/>
          </cell>
          <cell r="F1220" t="str">
            <v/>
          </cell>
          <cell r="G1220" t="str">
            <v/>
          </cell>
          <cell r="H1220" t="str">
            <v/>
          </cell>
          <cell r="I1220" t="str">
            <v/>
          </cell>
          <cell r="J1220" t="str">
            <v/>
          </cell>
          <cell r="K1220" t="str">
            <v/>
          </cell>
          <cell r="L1220" t="str">
            <v/>
          </cell>
          <cell r="M1220" t="str">
            <v/>
          </cell>
          <cell r="N1220" t="str">
            <v/>
          </cell>
          <cell r="O1220" t="str">
            <v/>
          </cell>
        </row>
        <row r="1221">
          <cell r="D1221" t="str">
            <v/>
          </cell>
          <cell r="E1221" t="str">
            <v/>
          </cell>
          <cell r="F1221" t="str">
            <v/>
          </cell>
          <cell r="G1221" t="str">
            <v/>
          </cell>
          <cell r="H1221" t="str">
            <v/>
          </cell>
          <cell r="I1221" t="str">
            <v/>
          </cell>
          <cell r="J1221" t="str">
            <v/>
          </cell>
          <cell r="K1221" t="str">
            <v/>
          </cell>
          <cell r="L1221" t="str">
            <v/>
          </cell>
          <cell r="M1221" t="str">
            <v/>
          </cell>
          <cell r="N1221" t="str">
            <v/>
          </cell>
          <cell r="O1221" t="str">
            <v/>
          </cell>
        </row>
        <row r="1222">
          <cell r="D1222" t="str">
            <v/>
          </cell>
          <cell r="E1222" t="str">
            <v/>
          </cell>
          <cell r="F1222" t="str">
            <v/>
          </cell>
          <cell r="G1222" t="str">
            <v/>
          </cell>
          <cell r="H1222" t="str">
            <v/>
          </cell>
          <cell r="I1222" t="str">
            <v/>
          </cell>
          <cell r="J1222" t="str">
            <v/>
          </cell>
          <cell r="K1222" t="str">
            <v/>
          </cell>
          <cell r="L1222" t="str">
            <v/>
          </cell>
          <cell r="M1222" t="str">
            <v/>
          </cell>
          <cell r="N1222" t="str">
            <v/>
          </cell>
          <cell r="O1222" t="str">
            <v/>
          </cell>
        </row>
        <row r="1223">
          <cell r="D1223" t="str">
            <v/>
          </cell>
          <cell r="E1223" t="str">
            <v/>
          </cell>
          <cell r="F1223" t="str">
            <v/>
          </cell>
          <cell r="G1223" t="str">
            <v/>
          </cell>
          <cell r="H1223" t="str">
            <v/>
          </cell>
          <cell r="I1223" t="str">
            <v/>
          </cell>
          <cell r="J1223" t="str">
            <v/>
          </cell>
          <cell r="K1223" t="str">
            <v/>
          </cell>
          <cell r="L1223" t="str">
            <v/>
          </cell>
          <cell r="M1223" t="str">
            <v/>
          </cell>
          <cell r="N1223" t="str">
            <v/>
          </cell>
          <cell r="O1223" t="str">
            <v/>
          </cell>
        </row>
        <row r="1224">
          <cell r="D1224" t="str">
            <v/>
          </cell>
          <cell r="E1224" t="str">
            <v/>
          </cell>
          <cell r="F1224" t="str">
            <v/>
          </cell>
          <cell r="G1224" t="str">
            <v/>
          </cell>
          <cell r="H1224" t="str">
            <v/>
          </cell>
          <cell r="I1224" t="str">
            <v/>
          </cell>
          <cell r="J1224" t="str">
            <v/>
          </cell>
          <cell r="K1224" t="str">
            <v/>
          </cell>
          <cell r="L1224" t="str">
            <v/>
          </cell>
          <cell r="M1224" t="str">
            <v/>
          </cell>
          <cell r="N1224" t="str">
            <v/>
          </cell>
          <cell r="O1224" t="str">
            <v/>
          </cell>
        </row>
        <row r="1225">
          <cell r="D1225" t="str">
            <v/>
          </cell>
          <cell r="E1225" t="str">
            <v/>
          </cell>
          <cell r="F1225" t="str">
            <v/>
          </cell>
          <cell r="G1225" t="str">
            <v/>
          </cell>
          <cell r="H1225" t="str">
            <v/>
          </cell>
          <cell r="I1225" t="str">
            <v/>
          </cell>
          <cell r="J1225" t="str">
            <v/>
          </cell>
          <cell r="K1225" t="str">
            <v/>
          </cell>
          <cell r="L1225" t="str">
            <v/>
          </cell>
          <cell r="M1225" t="str">
            <v/>
          </cell>
          <cell r="N1225" t="str">
            <v/>
          </cell>
          <cell r="O1225" t="str">
            <v/>
          </cell>
        </row>
        <row r="1226">
          <cell r="D1226" t="str">
            <v/>
          </cell>
          <cell r="E1226" t="str">
            <v/>
          </cell>
          <cell r="F1226" t="str">
            <v/>
          </cell>
          <cell r="G1226" t="str">
            <v/>
          </cell>
          <cell r="H1226" t="str">
            <v/>
          </cell>
          <cell r="I1226" t="str">
            <v/>
          </cell>
          <cell r="J1226" t="str">
            <v/>
          </cell>
          <cell r="K1226" t="str">
            <v/>
          </cell>
          <cell r="L1226" t="str">
            <v/>
          </cell>
          <cell r="M1226" t="str">
            <v/>
          </cell>
          <cell r="N1226" t="str">
            <v/>
          </cell>
          <cell r="O1226" t="str">
            <v/>
          </cell>
        </row>
        <row r="1227">
          <cell r="D1227" t="str">
            <v/>
          </cell>
          <cell r="E1227" t="str">
            <v/>
          </cell>
          <cell r="F1227" t="str">
            <v/>
          </cell>
          <cell r="G1227" t="str">
            <v/>
          </cell>
          <cell r="H1227" t="str">
            <v/>
          </cell>
          <cell r="I1227" t="str">
            <v/>
          </cell>
          <cell r="J1227" t="str">
            <v/>
          </cell>
          <cell r="K1227" t="str">
            <v/>
          </cell>
          <cell r="L1227" t="str">
            <v/>
          </cell>
          <cell r="M1227" t="str">
            <v/>
          </cell>
          <cell r="N1227" t="str">
            <v/>
          </cell>
          <cell r="O1227" t="str">
            <v/>
          </cell>
        </row>
        <row r="1228">
          <cell r="D1228" t="str">
            <v/>
          </cell>
          <cell r="E1228" t="str">
            <v/>
          </cell>
          <cell r="F1228" t="str">
            <v/>
          </cell>
          <cell r="G1228" t="str">
            <v/>
          </cell>
          <cell r="H1228" t="str">
            <v/>
          </cell>
          <cell r="I1228" t="str">
            <v/>
          </cell>
          <cell r="J1228" t="str">
            <v/>
          </cell>
          <cell r="K1228" t="str">
            <v/>
          </cell>
          <cell r="L1228" t="str">
            <v/>
          </cell>
          <cell r="M1228" t="str">
            <v/>
          </cell>
          <cell r="N1228" t="str">
            <v/>
          </cell>
          <cell r="O1228" t="str">
            <v/>
          </cell>
        </row>
        <row r="1229">
          <cell r="D1229" t="str">
            <v/>
          </cell>
          <cell r="E1229" t="str">
            <v/>
          </cell>
          <cell r="F1229" t="str">
            <v/>
          </cell>
          <cell r="G1229" t="str">
            <v/>
          </cell>
          <cell r="H1229" t="str">
            <v/>
          </cell>
          <cell r="I1229" t="str">
            <v/>
          </cell>
          <cell r="J1229" t="str">
            <v/>
          </cell>
          <cell r="K1229" t="str">
            <v/>
          </cell>
          <cell r="L1229" t="str">
            <v/>
          </cell>
          <cell r="M1229" t="str">
            <v/>
          </cell>
          <cell r="N1229" t="str">
            <v/>
          </cell>
          <cell r="O1229" t="str">
            <v/>
          </cell>
        </row>
        <row r="1230">
          <cell r="D1230" t="str">
            <v/>
          </cell>
          <cell r="E1230" t="str">
            <v/>
          </cell>
          <cell r="F1230" t="str">
            <v/>
          </cell>
          <cell r="G1230" t="str">
            <v/>
          </cell>
          <cell r="H1230" t="str">
            <v/>
          </cell>
          <cell r="I1230" t="str">
            <v/>
          </cell>
          <cell r="J1230" t="str">
            <v/>
          </cell>
          <cell r="K1230" t="str">
            <v/>
          </cell>
          <cell r="L1230" t="str">
            <v/>
          </cell>
          <cell r="M1230" t="str">
            <v/>
          </cell>
          <cell r="N1230" t="str">
            <v/>
          </cell>
          <cell r="O1230" t="str">
            <v/>
          </cell>
        </row>
        <row r="1231">
          <cell r="D1231" t="str">
            <v/>
          </cell>
          <cell r="E1231" t="str">
            <v/>
          </cell>
          <cell r="F1231" t="str">
            <v/>
          </cell>
          <cell r="G1231" t="str">
            <v/>
          </cell>
          <cell r="H1231" t="str">
            <v/>
          </cell>
          <cell r="I1231" t="str">
            <v/>
          </cell>
          <cell r="J1231" t="str">
            <v/>
          </cell>
          <cell r="K1231" t="str">
            <v/>
          </cell>
          <cell r="L1231" t="str">
            <v/>
          </cell>
          <cell r="M1231" t="str">
            <v/>
          </cell>
          <cell r="N1231" t="str">
            <v/>
          </cell>
          <cell r="O1231" t="str">
            <v/>
          </cell>
        </row>
        <row r="1232">
          <cell r="D1232" t="str">
            <v/>
          </cell>
          <cell r="E1232" t="str">
            <v/>
          </cell>
          <cell r="F1232" t="str">
            <v/>
          </cell>
          <cell r="G1232" t="str">
            <v/>
          </cell>
          <cell r="H1232" t="str">
            <v/>
          </cell>
          <cell r="I1232" t="str">
            <v/>
          </cell>
          <cell r="J1232" t="str">
            <v/>
          </cell>
          <cell r="K1232" t="str">
            <v/>
          </cell>
          <cell r="L1232" t="str">
            <v/>
          </cell>
          <cell r="M1232" t="str">
            <v/>
          </cell>
          <cell r="N1232" t="str">
            <v/>
          </cell>
          <cell r="O1232" t="str">
            <v/>
          </cell>
        </row>
        <row r="1233">
          <cell r="D1233" t="str">
            <v/>
          </cell>
          <cell r="E1233" t="str">
            <v/>
          </cell>
          <cell r="F1233" t="str">
            <v/>
          </cell>
          <cell r="G1233" t="str">
            <v/>
          </cell>
          <cell r="H1233" t="str">
            <v/>
          </cell>
          <cell r="I1233" t="str">
            <v/>
          </cell>
          <cell r="J1233" t="str">
            <v/>
          </cell>
          <cell r="K1233" t="str">
            <v/>
          </cell>
          <cell r="L1233" t="str">
            <v/>
          </cell>
          <cell r="M1233" t="str">
            <v/>
          </cell>
          <cell r="N1233" t="str">
            <v/>
          </cell>
          <cell r="O1233" t="str">
            <v/>
          </cell>
        </row>
        <row r="1234">
          <cell r="D1234" t="str">
            <v/>
          </cell>
          <cell r="E1234" t="str">
            <v/>
          </cell>
          <cell r="F1234" t="str">
            <v/>
          </cell>
          <cell r="G1234" t="str">
            <v/>
          </cell>
          <cell r="H1234" t="str">
            <v/>
          </cell>
          <cell r="I1234" t="str">
            <v/>
          </cell>
          <cell r="J1234" t="str">
            <v/>
          </cell>
          <cell r="K1234" t="str">
            <v/>
          </cell>
          <cell r="L1234" t="str">
            <v/>
          </cell>
          <cell r="M1234" t="str">
            <v/>
          </cell>
          <cell r="N1234" t="str">
            <v/>
          </cell>
          <cell r="O1234" t="str">
            <v/>
          </cell>
        </row>
        <row r="1235">
          <cell r="D1235" t="str">
            <v/>
          </cell>
          <cell r="E1235" t="str">
            <v/>
          </cell>
          <cell r="F1235" t="str">
            <v/>
          </cell>
          <cell r="G1235" t="str">
            <v/>
          </cell>
          <cell r="H1235" t="str">
            <v/>
          </cell>
          <cell r="I1235" t="str">
            <v/>
          </cell>
          <cell r="J1235" t="str">
            <v/>
          </cell>
          <cell r="K1235" t="str">
            <v/>
          </cell>
          <cell r="L1235" t="str">
            <v/>
          </cell>
          <cell r="M1235" t="str">
            <v/>
          </cell>
          <cell r="N1235" t="str">
            <v/>
          </cell>
          <cell r="O1235" t="str">
            <v/>
          </cell>
        </row>
        <row r="1236">
          <cell r="D1236" t="str">
            <v/>
          </cell>
          <cell r="E1236" t="str">
            <v/>
          </cell>
          <cell r="F1236" t="str">
            <v/>
          </cell>
          <cell r="G1236" t="str">
            <v/>
          </cell>
          <cell r="H1236" t="str">
            <v/>
          </cell>
          <cell r="I1236" t="str">
            <v/>
          </cell>
          <cell r="J1236" t="str">
            <v/>
          </cell>
          <cell r="K1236" t="str">
            <v/>
          </cell>
          <cell r="L1236" t="str">
            <v/>
          </cell>
          <cell r="M1236" t="str">
            <v/>
          </cell>
          <cell r="N1236" t="str">
            <v/>
          </cell>
          <cell r="O1236" t="str">
            <v/>
          </cell>
        </row>
        <row r="1237">
          <cell r="D1237" t="str">
            <v/>
          </cell>
          <cell r="E1237" t="str">
            <v/>
          </cell>
          <cell r="F1237" t="str">
            <v/>
          </cell>
          <cell r="G1237" t="str">
            <v/>
          </cell>
          <cell r="H1237" t="str">
            <v/>
          </cell>
          <cell r="I1237" t="str">
            <v/>
          </cell>
          <cell r="J1237" t="str">
            <v/>
          </cell>
          <cell r="K1237" t="str">
            <v/>
          </cell>
          <cell r="L1237" t="str">
            <v/>
          </cell>
          <cell r="M1237" t="str">
            <v/>
          </cell>
          <cell r="N1237" t="str">
            <v/>
          </cell>
          <cell r="O1237" t="str">
            <v/>
          </cell>
        </row>
        <row r="1238">
          <cell r="D1238" t="str">
            <v/>
          </cell>
          <cell r="E1238" t="str">
            <v/>
          </cell>
          <cell r="F1238" t="str">
            <v/>
          </cell>
          <cell r="G1238" t="str">
            <v/>
          </cell>
          <cell r="H1238" t="str">
            <v/>
          </cell>
          <cell r="I1238" t="str">
            <v/>
          </cell>
          <cell r="J1238" t="str">
            <v/>
          </cell>
          <cell r="K1238" t="str">
            <v/>
          </cell>
          <cell r="L1238" t="str">
            <v/>
          </cell>
          <cell r="M1238" t="str">
            <v/>
          </cell>
          <cell r="N1238" t="str">
            <v/>
          </cell>
          <cell r="O1238" t="str">
            <v/>
          </cell>
        </row>
        <row r="1239">
          <cell r="D1239" t="str">
            <v/>
          </cell>
          <cell r="E1239" t="str">
            <v/>
          </cell>
          <cell r="F1239" t="str">
            <v/>
          </cell>
          <cell r="G1239" t="str">
            <v/>
          </cell>
          <cell r="H1239" t="str">
            <v/>
          </cell>
          <cell r="I1239" t="str">
            <v/>
          </cell>
          <cell r="J1239" t="str">
            <v/>
          </cell>
          <cell r="K1239" t="str">
            <v/>
          </cell>
          <cell r="L1239" t="str">
            <v/>
          </cell>
          <cell r="M1239" t="str">
            <v/>
          </cell>
          <cell r="N1239" t="str">
            <v/>
          </cell>
          <cell r="O1239" t="str">
            <v/>
          </cell>
        </row>
        <row r="1240">
          <cell r="D1240" t="str">
            <v/>
          </cell>
          <cell r="E1240" t="str">
            <v/>
          </cell>
          <cell r="F1240" t="str">
            <v/>
          </cell>
          <cell r="G1240" t="str">
            <v/>
          </cell>
          <cell r="H1240" t="str">
            <v/>
          </cell>
          <cell r="I1240" t="str">
            <v/>
          </cell>
          <cell r="J1240" t="str">
            <v/>
          </cell>
          <cell r="K1240" t="str">
            <v/>
          </cell>
          <cell r="L1240" t="str">
            <v/>
          </cell>
          <cell r="M1240" t="str">
            <v/>
          </cell>
          <cell r="N1240" t="str">
            <v/>
          </cell>
          <cell r="O1240" t="str">
            <v/>
          </cell>
        </row>
        <row r="1241">
          <cell r="D1241" t="str">
            <v/>
          </cell>
          <cell r="E1241" t="str">
            <v/>
          </cell>
          <cell r="F1241" t="str">
            <v/>
          </cell>
          <cell r="G1241" t="str">
            <v/>
          </cell>
          <cell r="H1241" t="str">
            <v/>
          </cell>
          <cell r="I1241" t="str">
            <v/>
          </cell>
          <cell r="J1241" t="str">
            <v/>
          </cell>
          <cell r="K1241" t="str">
            <v/>
          </cell>
          <cell r="L1241" t="str">
            <v/>
          </cell>
          <cell r="M1241" t="str">
            <v/>
          </cell>
          <cell r="N1241" t="str">
            <v/>
          </cell>
          <cell r="O1241" t="str">
            <v/>
          </cell>
        </row>
        <row r="1242">
          <cell r="D1242" t="str">
            <v/>
          </cell>
          <cell r="E1242" t="str">
            <v/>
          </cell>
          <cell r="F1242" t="str">
            <v/>
          </cell>
          <cell r="G1242" t="str">
            <v/>
          </cell>
          <cell r="H1242" t="str">
            <v/>
          </cell>
          <cell r="I1242" t="str">
            <v/>
          </cell>
          <cell r="J1242" t="str">
            <v/>
          </cell>
          <cell r="K1242" t="str">
            <v/>
          </cell>
          <cell r="L1242" t="str">
            <v/>
          </cell>
          <cell r="M1242" t="str">
            <v/>
          </cell>
          <cell r="N1242" t="str">
            <v/>
          </cell>
          <cell r="O1242" t="str">
            <v/>
          </cell>
        </row>
        <row r="1243">
          <cell r="D1243" t="str">
            <v/>
          </cell>
          <cell r="E1243" t="str">
            <v/>
          </cell>
          <cell r="F1243" t="str">
            <v/>
          </cell>
          <cell r="G1243" t="str">
            <v/>
          </cell>
          <cell r="H1243" t="str">
            <v/>
          </cell>
          <cell r="I1243" t="str">
            <v/>
          </cell>
          <cell r="J1243" t="str">
            <v/>
          </cell>
          <cell r="K1243" t="str">
            <v/>
          </cell>
          <cell r="L1243" t="str">
            <v/>
          </cell>
          <cell r="M1243" t="str">
            <v/>
          </cell>
          <cell r="N1243" t="str">
            <v/>
          </cell>
          <cell r="O1243" t="str">
            <v/>
          </cell>
        </row>
        <row r="1244">
          <cell r="D1244" t="str">
            <v/>
          </cell>
          <cell r="E1244" t="str">
            <v/>
          </cell>
          <cell r="F1244" t="str">
            <v/>
          </cell>
          <cell r="G1244" t="str">
            <v/>
          </cell>
          <cell r="H1244" t="str">
            <v/>
          </cell>
          <cell r="I1244" t="str">
            <v/>
          </cell>
          <cell r="J1244" t="str">
            <v/>
          </cell>
          <cell r="K1244" t="str">
            <v/>
          </cell>
          <cell r="L1244" t="str">
            <v/>
          </cell>
          <cell r="M1244" t="str">
            <v/>
          </cell>
          <cell r="N1244" t="str">
            <v/>
          </cell>
          <cell r="O1244" t="str">
            <v/>
          </cell>
        </row>
        <row r="1245">
          <cell r="D1245" t="str">
            <v/>
          </cell>
          <cell r="E1245" t="str">
            <v/>
          </cell>
          <cell r="F1245" t="str">
            <v/>
          </cell>
          <cell r="G1245" t="str">
            <v/>
          </cell>
          <cell r="H1245" t="str">
            <v/>
          </cell>
          <cell r="I1245" t="str">
            <v/>
          </cell>
          <cell r="J1245" t="str">
            <v/>
          </cell>
          <cell r="K1245" t="str">
            <v/>
          </cell>
          <cell r="L1245" t="str">
            <v/>
          </cell>
          <cell r="M1245" t="str">
            <v/>
          </cell>
          <cell r="N1245" t="str">
            <v/>
          </cell>
          <cell r="O1245" t="str">
            <v/>
          </cell>
        </row>
        <row r="1246">
          <cell r="D1246" t="str">
            <v/>
          </cell>
          <cell r="E1246" t="str">
            <v/>
          </cell>
          <cell r="F1246" t="str">
            <v/>
          </cell>
          <cell r="G1246" t="str">
            <v/>
          </cell>
          <cell r="H1246" t="str">
            <v/>
          </cell>
          <cell r="I1246" t="str">
            <v/>
          </cell>
          <cell r="J1246" t="str">
            <v/>
          </cell>
          <cell r="K1246" t="str">
            <v/>
          </cell>
          <cell r="L1246" t="str">
            <v/>
          </cell>
          <cell r="M1246" t="str">
            <v/>
          </cell>
          <cell r="N1246" t="str">
            <v/>
          </cell>
          <cell r="O1246" t="str">
            <v/>
          </cell>
        </row>
        <row r="1247">
          <cell r="D1247" t="str">
            <v/>
          </cell>
          <cell r="E1247" t="str">
            <v/>
          </cell>
          <cell r="F1247" t="str">
            <v/>
          </cell>
          <cell r="G1247" t="str">
            <v/>
          </cell>
          <cell r="H1247" t="str">
            <v/>
          </cell>
          <cell r="I1247" t="str">
            <v/>
          </cell>
          <cell r="J1247" t="str">
            <v/>
          </cell>
          <cell r="K1247" t="str">
            <v/>
          </cell>
          <cell r="L1247" t="str">
            <v/>
          </cell>
          <cell r="M1247" t="str">
            <v/>
          </cell>
          <cell r="N1247" t="str">
            <v/>
          </cell>
          <cell r="O1247" t="str">
            <v/>
          </cell>
        </row>
        <row r="1248">
          <cell r="D1248" t="str">
            <v/>
          </cell>
          <cell r="E1248" t="str">
            <v/>
          </cell>
          <cell r="F1248" t="str">
            <v/>
          </cell>
          <cell r="G1248" t="str">
            <v/>
          </cell>
          <cell r="H1248" t="str">
            <v/>
          </cell>
          <cell r="I1248" t="str">
            <v/>
          </cell>
          <cell r="J1248" t="str">
            <v/>
          </cell>
          <cell r="K1248" t="str">
            <v/>
          </cell>
          <cell r="L1248" t="str">
            <v/>
          </cell>
          <cell r="M1248" t="str">
            <v/>
          </cell>
          <cell r="N1248" t="str">
            <v/>
          </cell>
          <cell r="O1248" t="str">
            <v/>
          </cell>
        </row>
        <row r="1249">
          <cell r="D1249" t="str">
            <v/>
          </cell>
          <cell r="E1249" t="str">
            <v/>
          </cell>
          <cell r="F1249" t="str">
            <v/>
          </cell>
          <cell r="G1249" t="str">
            <v/>
          </cell>
          <cell r="H1249" t="str">
            <v/>
          </cell>
          <cell r="I1249" t="str">
            <v/>
          </cell>
          <cell r="J1249" t="str">
            <v/>
          </cell>
          <cell r="K1249" t="str">
            <v/>
          </cell>
          <cell r="L1249" t="str">
            <v/>
          </cell>
          <cell r="M1249" t="str">
            <v/>
          </cell>
          <cell r="N1249" t="str">
            <v/>
          </cell>
          <cell r="O1249" t="str">
            <v/>
          </cell>
        </row>
        <row r="1250">
          <cell r="D1250" t="str">
            <v/>
          </cell>
          <cell r="E1250" t="str">
            <v/>
          </cell>
          <cell r="F1250" t="str">
            <v/>
          </cell>
          <cell r="G1250" t="str">
            <v/>
          </cell>
          <cell r="H1250" t="str">
            <v/>
          </cell>
          <cell r="I1250" t="str">
            <v/>
          </cell>
          <cell r="J1250" t="str">
            <v/>
          </cell>
          <cell r="K1250" t="str">
            <v/>
          </cell>
          <cell r="L1250" t="str">
            <v/>
          </cell>
          <cell r="M1250" t="str">
            <v/>
          </cell>
          <cell r="N1250" t="str">
            <v/>
          </cell>
          <cell r="O1250" t="str">
            <v/>
          </cell>
        </row>
        <row r="1251">
          <cell r="D1251" t="str">
            <v/>
          </cell>
          <cell r="E1251" t="str">
            <v/>
          </cell>
          <cell r="F1251" t="str">
            <v/>
          </cell>
          <cell r="G1251" t="str">
            <v/>
          </cell>
          <cell r="H1251" t="str">
            <v/>
          </cell>
          <cell r="I1251" t="str">
            <v/>
          </cell>
          <cell r="J1251" t="str">
            <v/>
          </cell>
          <cell r="K1251" t="str">
            <v/>
          </cell>
          <cell r="L1251" t="str">
            <v/>
          </cell>
          <cell r="M1251" t="str">
            <v/>
          </cell>
          <cell r="N1251" t="str">
            <v/>
          </cell>
          <cell r="O1251" t="str">
            <v/>
          </cell>
        </row>
        <row r="1252">
          <cell r="D1252" t="str">
            <v/>
          </cell>
          <cell r="E1252" t="str">
            <v/>
          </cell>
          <cell r="F1252" t="str">
            <v/>
          </cell>
          <cell r="G1252" t="str">
            <v/>
          </cell>
          <cell r="H1252" t="str">
            <v/>
          </cell>
          <cell r="I1252" t="str">
            <v/>
          </cell>
          <cell r="J1252" t="str">
            <v/>
          </cell>
          <cell r="K1252" t="str">
            <v/>
          </cell>
          <cell r="L1252" t="str">
            <v/>
          </cell>
          <cell r="M1252" t="str">
            <v/>
          </cell>
          <cell r="N1252" t="str">
            <v/>
          </cell>
          <cell r="O1252" t="str">
            <v/>
          </cell>
        </row>
        <row r="1253">
          <cell r="D1253" t="str">
            <v/>
          </cell>
          <cell r="E1253" t="str">
            <v/>
          </cell>
          <cell r="F1253" t="str">
            <v/>
          </cell>
          <cell r="G1253" t="str">
            <v/>
          </cell>
          <cell r="H1253" t="str">
            <v/>
          </cell>
          <cell r="I1253" t="str">
            <v/>
          </cell>
          <cell r="J1253" t="str">
            <v/>
          </cell>
          <cell r="K1253" t="str">
            <v/>
          </cell>
          <cell r="L1253" t="str">
            <v/>
          </cell>
          <cell r="M1253" t="str">
            <v/>
          </cell>
          <cell r="N1253" t="str">
            <v/>
          </cell>
          <cell r="O1253" t="str">
            <v/>
          </cell>
        </row>
        <row r="1254">
          <cell r="D1254" t="str">
            <v/>
          </cell>
          <cell r="E1254" t="str">
            <v/>
          </cell>
          <cell r="F1254" t="str">
            <v/>
          </cell>
          <cell r="G1254" t="str">
            <v/>
          </cell>
          <cell r="H1254" t="str">
            <v/>
          </cell>
          <cell r="I1254" t="str">
            <v/>
          </cell>
          <cell r="J1254" t="str">
            <v/>
          </cell>
          <cell r="K1254" t="str">
            <v/>
          </cell>
          <cell r="L1254" t="str">
            <v/>
          </cell>
          <cell r="M1254" t="str">
            <v/>
          </cell>
          <cell r="N1254" t="str">
            <v/>
          </cell>
          <cell r="O1254" t="str">
            <v/>
          </cell>
        </row>
        <row r="1255">
          <cell r="D1255" t="str">
            <v/>
          </cell>
          <cell r="E1255" t="str">
            <v/>
          </cell>
          <cell r="F1255" t="str">
            <v/>
          </cell>
          <cell r="G1255" t="str">
            <v/>
          </cell>
          <cell r="H1255" t="str">
            <v/>
          </cell>
          <cell r="I1255" t="str">
            <v/>
          </cell>
          <cell r="J1255" t="str">
            <v/>
          </cell>
          <cell r="K1255" t="str">
            <v/>
          </cell>
          <cell r="L1255" t="str">
            <v/>
          </cell>
          <cell r="M1255" t="str">
            <v/>
          </cell>
          <cell r="N1255" t="str">
            <v/>
          </cell>
          <cell r="O1255" t="str">
            <v/>
          </cell>
        </row>
        <row r="1256">
          <cell r="D1256" t="str">
            <v/>
          </cell>
          <cell r="E1256" t="str">
            <v/>
          </cell>
          <cell r="F1256" t="str">
            <v/>
          </cell>
          <cell r="G1256" t="str">
            <v/>
          </cell>
          <cell r="H1256" t="str">
            <v/>
          </cell>
          <cell r="I1256" t="str">
            <v/>
          </cell>
          <cell r="J1256" t="str">
            <v/>
          </cell>
          <cell r="K1256" t="str">
            <v/>
          </cell>
          <cell r="L1256" t="str">
            <v/>
          </cell>
          <cell r="M1256" t="str">
            <v/>
          </cell>
          <cell r="N1256" t="str">
            <v/>
          </cell>
          <cell r="O1256" t="str">
            <v/>
          </cell>
        </row>
        <row r="1257">
          <cell r="D1257" t="str">
            <v/>
          </cell>
          <cell r="E1257" t="str">
            <v/>
          </cell>
          <cell r="F1257" t="str">
            <v/>
          </cell>
          <cell r="G1257" t="str">
            <v/>
          </cell>
          <cell r="H1257" t="str">
            <v/>
          </cell>
          <cell r="I1257" t="str">
            <v/>
          </cell>
          <cell r="J1257" t="str">
            <v/>
          </cell>
          <cell r="K1257" t="str">
            <v/>
          </cell>
          <cell r="L1257" t="str">
            <v/>
          </cell>
          <cell r="M1257" t="str">
            <v/>
          </cell>
          <cell r="N1257" t="str">
            <v/>
          </cell>
          <cell r="O1257" t="str">
            <v/>
          </cell>
        </row>
        <row r="1258">
          <cell r="D1258" t="str">
            <v/>
          </cell>
          <cell r="E1258" t="str">
            <v/>
          </cell>
          <cell r="F1258" t="str">
            <v/>
          </cell>
          <cell r="G1258" t="str">
            <v/>
          </cell>
          <cell r="H1258" t="str">
            <v/>
          </cell>
          <cell r="I1258" t="str">
            <v/>
          </cell>
          <cell r="J1258" t="str">
            <v/>
          </cell>
          <cell r="K1258" t="str">
            <v/>
          </cell>
          <cell r="L1258" t="str">
            <v/>
          </cell>
          <cell r="M1258" t="str">
            <v/>
          </cell>
          <cell r="N1258" t="str">
            <v/>
          </cell>
          <cell r="O1258" t="str">
            <v/>
          </cell>
        </row>
        <row r="1259">
          <cell r="D1259" t="str">
            <v/>
          </cell>
          <cell r="E1259" t="str">
            <v/>
          </cell>
          <cell r="F1259" t="str">
            <v/>
          </cell>
          <cell r="G1259" t="str">
            <v/>
          </cell>
          <cell r="H1259" t="str">
            <v/>
          </cell>
          <cell r="I1259" t="str">
            <v/>
          </cell>
          <cell r="J1259" t="str">
            <v/>
          </cell>
          <cell r="K1259" t="str">
            <v/>
          </cell>
          <cell r="L1259" t="str">
            <v/>
          </cell>
          <cell r="M1259" t="str">
            <v/>
          </cell>
          <cell r="N1259" t="str">
            <v/>
          </cell>
          <cell r="O1259" t="str">
            <v/>
          </cell>
        </row>
        <row r="1260">
          <cell r="D1260" t="str">
            <v/>
          </cell>
          <cell r="E1260" t="str">
            <v/>
          </cell>
          <cell r="F1260" t="str">
            <v/>
          </cell>
          <cell r="G1260" t="str">
            <v/>
          </cell>
          <cell r="H1260" t="str">
            <v/>
          </cell>
          <cell r="I1260" t="str">
            <v/>
          </cell>
          <cell r="J1260" t="str">
            <v/>
          </cell>
          <cell r="K1260" t="str">
            <v/>
          </cell>
          <cell r="L1260" t="str">
            <v/>
          </cell>
          <cell r="M1260" t="str">
            <v/>
          </cell>
          <cell r="N1260" t="str">
            <v/>
          </cell>
          <cell r="O1260" t="str">
            <v/>
          </cell>
        </row>
        <row r="1261">
          <cell r="D1261" t="str">
            <v/>
          </cell>
          <cell r="E1261" t="str">
            <v/>
          </cell>
          <cell r="F1261" t="str">
            <v/>
          </cell>
          <cell r="G1261" t="str">
            <v/>
          </cell>
          <cell r="H1261" t="str">
            <v/>
          </cell>
          <cell r="I1261" t="str">
            <v/>
          </cell>
          <cell r="J1261" t="str">
            <v/>
          </cell>
          <cell r="K1261" t="str">
            <v/>
          </cell>
          <cell r="L1261" t="str">
            <v/>
          </cell>
          <cell r="M1261" t="str">
            <v/>
          </cell>
          <cell r="N1261" t="str">
            <v/>
          </cell>
          <cell r="O1261" t="str">
            <v/>
          </cell>
        </row>
        <row r="1262">
          <cell r="D1262" t="str">
            <v/>
          </cell>
          <cell r="E1262" t="str">
            <v/>
          </cell>
          <cell r="F1262" t="str">
            <v/>
          </cell>
          <cell r="G1262" t="str">
            <v/>
          </cell>
          <cell r="H1262" t="str">
            <v/>
          </cell>
          <cell r="I1262" t="str">
            <v/>
          </cell>
          <cell r="J1262" t="str">
            <v/>
          </cell>
          <cell r="K1262" t="str">
            <v/>
          </cell>
          <cell r="L1262" t="str">
            <v/>
          </cell>
          <cell r="M1262" t="str">
            <v/>
          </cell>
          <cell r="N1262" t="str">
            <v/>
          </cell>
          <cell r="O1262" t="str">
            <v/>
          </cell>
        </row>
        <row r="1263">
          <cell r="D1263" t="str">
            <v/>
          </cell>
          <cell r="E1263" t="str">
            <v/>
          </cell>
          <cell r="F1263" t="str">
            <v/>
          </cell>
          <cell r="G1263" t="str">
            <v/>
          </cell>
          <cell r="H1263" t="str">
            <v/>
          </cell>
          <cell r="I1263" t="str">
            <v/>
          </cell>
          <cell r="J1263" t="str">
            <v/>
          </cell>
          <cell r="K1263" t="str">
            <v/>
          </cell>
          <cell r="L1263" t="str">
            <v/>
          </cell>
          <cell r="M1263" t="str">
            <v/>
          </cell>
          <cell r="N1263" t="str">
            <v/>
          </cell>
          <cell r="O1263" t="str">
            <v/>
          </cell>
        </row>
        <row r="1264">
          <cell r="D1264" t="str">
            <v/>
          </cell>
          <cell r="E1264" t="str">
            <v/>
          </cell>
          <cell r="F1264" t="str">
            <v/>
          </cell>
          <cell r="G1264" t="str">
            <v/>
          </cell>
          <cell r="H1264" t="str">
            <v/>
          </cell>
          <cell r="I1264" t="str">
            <v/>
          </cell>
          <cell r="J1264" t="str">
            <v/>
          </cell>
          <cell r="K1264" t="str">
            <v/>
          </cell>
          <cell r="L1264" t="str">
            <v/>
          </cell>
          <cell r="M1264" t="str">
            <v/>
          </cell>
          <cell r="N1264" t="str">
            <v/>
          </cell>
          <cell r="O1264" t="str">
            <v/>
          </cell>
        </row>
        <row r="1265">
          <cell r="D1265" t="str">
            <v/>
          </cell>
          <cell r="E1265" t="str">
            <v/>
          </cell>
          <cell r="F1265" t="str">
            <v/>
          </cell>
          <cell r="G1265" t="str">
            <v/>
          </cell>
          <cell r="H1265" t="str">
            <v/>
          </cell>
          <cell r="I1265" t="str">
            <v/>
          </cell>
          <cell r="J1265" t="str">
            <v/>
          </cell>
          <cell r="K1265" t="str">
            <v/>
          </cell>
          <cell r="L1265" t="str">
            <v/>
          </cell>
          <cell r="M1265" t="str">
            <v/>
          </cell>
          <cell r="N1265" t="str">
            <v/>
          </cell>
          <cell r="O1265" t="str">
            <v/>
          </cell>
        </row>
        <row r="1266">
          <cell r="D1266" t="str">
            <v/>
          </cell>
          <cell r="E1266" t="str">
            <v/>
          </cell>
          <cell r="F1266" t="str">
            <v/>
          </cell>
          <cell r="G1266" t="str">
            <v/>
          </cell>
          <cell r="H1266" t="str">
            <v/>
          </cell>
          <cell r="I1266" t="str">
            <v/>
          </cell>
          <cell r="J1266" t="str">
            <v/>
          </cell>
          <cell r="K1266" t="str">
            <v/>
          </cell>
          <cell r="L1266" t="str">
            <v/>
          </cell>
          <cell r="M1266" t="str">
            <v/>
          </cell>
          <cell r="N1266" t="str">
            <v/>
          </cell>
          <cell r="O1266" t="str">
            <v/>
          </cell>
        </row>
        <row r="1267">
          <cell r="D1267" t="str">
            <v/>
          </cell>
          <cell r="E1267" t="str">
            <v/>
          </cell>
          <cell r="F1267" t="str">
            <v/>
          </cell>
          <cell r="G1267" t="str">
            <v/>
          </cell>
          <cell r="H1267" t="str">
            <v/>
          </cell>
          <cell r="I1267" t="str">
            <v/>
          </cell>
          <cell r="J1267" t="str">
            <v/>
          </cell>
          <cell r="K1267" t="str">
            <v/>
          </cell>
          <cell r="L1267" t="str">
            <v/>
          </cell>
          <cell r="M1267" t="str">
            <v/>
          </cell>
          <cell r="N1267" t="str">
            <v/>
          </cell>
          <cell r="O1267" t="str">
            <v/>
          </cell>
        </row>
        <row r="1268">
          <cell r="D1268" t="str">
            <v/>
          </cell>
          <cell r="E1268" t="str">
            <v/>
          </cell>
          <cell r="F1268" t="str">
            <v/>
          </cell>
          <cell r="G1268" t="str">
            <v/>
          </cell>
          <cell r="H1268" t="str">
            <v/>
          </cell>
          <cell r="I1268" t="str">
            <v/>
          </cell>
          <cell r="J1268" t="str">
            <v/>
          </cell>
          <cell r="K1268" t="str">
            <v/>
          </cell>
          <cell r="L1268" t="str">
            <v/>
          </cell>
          <cell r="M1268" t="str">
            <v/>
          </cell>
          <cell r="N1268" t="str">
            <v/>
          </cell>
          <cell r="O1268" t="str">
            <v/>
          </cell>
        </row>
        <row r="1269">
          <cell r="D1269" t="str">
            <v/>
          </cell>
          <cell r="E1269" t="str">
            <v/>
          </cell>
          <cell r="F1269" t="str">
            <v/>
          </cell>
          <cell r="G1269" t="str">
            <v/>
          </cell>
          <cell r="H1269" t="str">
            <v/>
          </cell>
          <cell r="I1269" t="str">
            <v/>
          </cell>
          <cell r="J1269" t="str">
            <v/>
          </cell>
          <cell r="K1269" t="str">
            <v/>
          </cell>
          <cell r="L1269" t="str">
            <v/>
          </cell>
          <cell r="M1269" t="str">
            <v/>
          </cell>
          <cell r="N1269" t="str">
            <v/>
          </cell>
          <cell r="O1269" t="str">
            <v/>
          </cell>
        </row>
        <row r="1270">
          <cell r="D1270" t="str">
            <v/>
          </cell>
          <cell r="E1270" t="str">
            <v/>
          </cell>
          <cell r="F1270" t="str">
            <v/>
          </cell>
          <cell r="G1270" t="str">
            <v/>
          </cell>
          <cell r="H1270" t="str">
            <v/>
          </cell>
          <cell r="I1270" t="str">
            <v/>
          </cell>
          <cell r="J1270" t="str">
            <v/>
          </cell>
          <cell r="K1270" t="str">
            <v/>
          </cell>
          <cell r="L1270" t="str">
            <v/>
          </cell>
          <cell r="M1270" t="str">
            <v/>
          </cell>
          <cell r="N1270" t="str">
            <v/>
          </cell>
          <cell r="O1270" t="str">
            <v/>
          </cell>
        </row>
        <row r="1271">
          <cell r="D1271" t="str">
            <v/>
          </cell>
          <cell r="E1271" t="str">
            <v/>
          </cell>
          <cell r="F1271" t="str">
            <v/>
          </cell>
          <cell r="G1271" t="str">
            <v/>
          </cell>
          <cell r="H1271" t="str">
            <v/>
          </cell>
          <cell r="I1271" t="str">
            <v/>
          </cell>
          <cell r="J1271" t="str">
            <v/>
          </cell>
          <cell r="K1271" t="str">
            <v/>
          </cell>
          <cell r="L1271" t="str">
            <v/>
          </cell>
          <cell r="M1271" t="str">
            <v/>
          </cell>
          <cell r="N1271" t="str">
            <v/>
          </cell>
          <cell r="O1271" t="str">
            <v/>
          </cell>
        </row>
        <row r="1272">
          <cell r="D1272" t="str">
            <v/>
          </cell>
          <cell r="E1272" t="str">
            <v/>
          </cell>
          <cell r="F1272" t="str">
            <v/>
          </cell>
          <cell r="G1272" t="str">
            <v/>
          </cell>
          <cell r="H1272" t="str">
            <v/>
          </cell>
          <cell r="I1272" t="str">
            <v/>
          </cell>
          <cell r="J1272" t="str">
            <v/>
          </cell>
          <cell r="K1272" t="str">
            <v/>
          </cell>
          <cell r="L1272" t="str">
            <v/>
          </cell>
          <cell r="M1272" t="str">
            <v/>
          </cell>
          <cell r="N1272" t="str">
            <v/>
          </cell>
          <cell r="O1272" t="str">
            <v/>
          </cell>
        </row>
        <row r="1273">
          <cell r="D1273" t="str">
            <v/>
          </cell>
          <cell r="E1273" t="str">
            <v/>
          </cell>
          <cell r="F1273" t="str">
            <v/>
          </cell>
          <cell r="G1273" t="str">
            <v/>
          </cell>
          <cell r="H1273" t="str">
            <v/>
          </cell>
          <cell r="I1273" t="str">
            <v/>
          </cell>
          <cell r="J1273" t="str">
            <v/>
          </cell>
          <cell r="K1273" t="str">
            <v/>
          </cell>
          <cell r="L1273" t="str">
            <v/>
          </cell>
          <cell r="M1273" t="str">
            <v/>
          </cell>
          <cell r="N1273" t="str">
            <v/>
          </cell>
          <cell r="O1273" t="str">
            <v/>
          </cell>
        </row>
        <row r="1274">
          <cell r="D1274" t="str">
            <v/>
          </cell>
          <cell r="E1274" t="str">
            <v/>
          </cell>
          <cell r="F1274" t="str">
            <v/>
          </cell>
          <cell r="G1274" t="str">
            <v/>
          </cell>
          <cell r="H1274" t="str">
            <v/>
          </cell>
          <cell r="I1274" t="str">
            <v/>
          </cell>
          <cell r="J1274" t="str">
            <v/>
          </cell>
          <cell r="K1274" t="str">
            <v/>
          </cell>
          <cell r="L1274" t="str">
            <v/>
          </cell>
          <cell r="M1274" t="str">
            <v/>
          </cell>
          <cell r="N1274" t="str">
            <v/>
          </cell>
          <cell r="O1274" t="str">
            <v/>
          </cell>
        </row>
        <row r="1275">
          <cell r="D1275" t="str">
            <v/>
          </cell>
          <cell r="E1275" t="str">
            <v/>
          </cell>
          <cell r="F1275" t="str">
            <v/>
          </cell>
          <cell r="G1275" t="str">
            <v/>
          </cell>
          <cell r="H1275" t="str">
            <v/>
          </cell>
          <cell r="I1275" t="str">
            <v/>
          </cell>
          <cell r="J1275" t="str">
            <v/>
          </cell>
          <cell r="K1275" t="str">
            <v/>
          </cell>
          <cell r="L1275" t="str">
            <v/>
          </cell>
          <cell r="M1275" t="str">
            <v/>
          </cell>
          <cell r="N1275" t="str">
            <v/>
          </cell>
          <cell r="O1275" t="str">
            <v/>
          </cell>
        </row>
        <row r="1276">
          <cell r="D1276" t="str">
            <v/>
          </cell>
          <cell r="E1276" t="str">
            <v/>
          </cell>
          <cell r="F1276" t="str">
            <v/>
          </cell>
          <cell r="G1276" t="str">
            <v/>
          </cell>
          <cell r="H1276" t="str">
            <v/>
          </cell>
          <cell r="I1276" t="str">
            <v/>
          </cell>
          <cell r="J1276" t="str">
            <v/>
          </cell>
          <cell r="K1276" t="str">
            <v/>
          </cell>
          <cell r="L1276" t="str">
            <v/>
          </cell>
          <cell r="M1276" t="str">
            <v/>
          </cell>
          <cell r="N1276" t="str">
            <v/>
          </cell>
          <cell r="O1276" t="str">
            <v/>
          </cell>
        </row>
        <row r="1277">
          <cell r="D1277" t="str">
            <v/>
          </cell>
          <cell r="E1277" t="str">
            <v/>
          </cell>
          <cell r="F1277" t="str">
            <v/>
          </cell>
          <cell r="G1277" t="str">
            <v/>
          </cell>
          <cell r="H1277" t="str">
            <v/>
          </cell>
          <cell r="I1277" t="str">
            <v/>
          </cell>
          <cell r="J1277" t="str">
            <v/>
          </cell>
          <cell r="K1277" t="str">
            <v/>
          </cell>
          <cell r="L1277" t="str">
            <v/>
          </cell>
          <cell r="M1277" t="str">
            <v/>
          </cell>
          <cell r="N1277" t="str">
            <v/>
          </cell>
          <cell r="O1277" t="str">
            <v/>
          </cell>
        </row>
        <row r="1278">
          <cell r="D1278" t="str">
            <v/>
          </cell>
          <cell r="E1278" t="str">
            <v/>
          </cell>
          <cell r="F1278" t="str">
            <v/>
          </cell>
          <cell r="G1278" t="str">
            <v/>
          </cell>
          <cell r="H1278" t="str">
            <v/>
          </cell>
          <cell r="I1278" t="str">
            <v/>
          </cell>
          <cell r="J1278" t="str">
            <v/>
          </cell>
          <cell r="K1278" t="str">
            <v/>
          </cell>
          <cell r="L1278" t="str">
            <v/>
          </cell>
          <cell r="M1278" t="str">
            <v/>
          </cell>
          <cell r="N1278" t="str">
            <v/>
          </cell>
          <cell r="O1278" t="str">
            <v/>
          </cell>
        </row>
        <row r="1279">
          <cell r="D1279" t="str">
            <v/>
          </cell>
          <cell r="E1279" t="str">
            <v/>
          </cell>
          <cell r="F1279" t="str">
            <v/>
          </cell>
          <cell r="G1279" t="str">
            <v/>
          </cell>
          <cell r="H1279" t="str">
            <v/>
          </cell>
          <cell r="I1279" t="str">
            <v/>
          </cell>
          <cell r="J1279" t="str">
            <v/>
          </cell>
          <cell r="K1279" t="str">
            <v/>
          </cell>
          <cell r="L1279" t="str">
            <v/>
          </cell>
          <cell r="M1279" t="str">
            <v/>
          </cell>
          <cell r="N1279" t="str">
            <v/>
          </cell>
          <cell r="O1279" t="str">
            <v/>
          </cell>
        </row>
        <row r="1280">
          <cell r="D1280" t="str">
            <v/>
          </cell>
          <cell r="E1280" t="str">
            <v/>
          </cell>
          <cell r="F1280" t="str">
            <v/>
          </cell>
          <cell r="G1280" t="str">
            <v/>
          </cell>
          <cell r="H1280" t="str">
            <v/>
          </cell>
          <cell r="I1280" t="str">
            <v/>
          </cell>
          <cell r="J1280" t="str">
            <v/>
          </cell>
          <cell r="K1280" t="str">
            <v/>
          </cell>
          <cell r="L1280" t="str">
            <v/>
          </cell>
          <cell r="M1280" t="str">
            <v/>
          </cell>
          <cell r="N1280" t="str">
            <v/>
          </cell>
          <cell r="O1280" t="str">
            <v/>
          </cell>
        </row>
        <row r="1281">
          <cell r="D1281" t="str">
            <v/>
          </cell>
          <cell r="E1281" t="str">
            <v/>
          </cell>
          <cell r="F1281" t="str">
            <v/>
          </cell>
          <cell r="G1281" t="str">
            <v/>
          </cell>
          <cell r="H1281" t="str">
            <v/>
          </cell>
          <cell r="I1281" t="str">
            <v/>
          </cell>
          <cell r="J1281" t="str">
            <v/>
          </cell>
          <cell r="K1281" t="str">
            <v/>
          </cell>
          <cell r="L1281" t="str">
            <v/>
          </cell>
          <cell r="M1281" t="str">
            <v/>
          </cell>
          <cell r="N1281" t="str">
            <v/>
          </cell>
          <cell r="O1281" t="str">
            <v/>
          </cell>
        </row>
        <row r="1282">
          <cell r="D1282" t="str">
            <v/>
          </cell>
          <cell r="E1282" t="str">
            <v/>
          </cell>
          <cell r="F1282" t="str">
            <v/>
          </cell>
          <cell r="G1282" t="str">
            <v/>
          </cell>
          <cell r="H1282" t="str">
            <v/>
          </cell>
          <cell r="I1282" t="str">
            <v/>
          </cell>
          <cell r="J1282" t="str">
            <v/>
          </cell>
          <cell r="K1282" t="str">
            <v/>
          </cell>
          <cell r="L1282" t="str">
            <v/>
          </cell>
          <cell r="M1282" t="str">
            <v/>
          </cell>
          <cell r="N1282" t="str">
            <v/>
          </cell>
          <cell r="O1282" t="str">
            <v/>
          </cell>
        </row>
        <row r="1283">
          <cell r="D1283" t="str">
            <v/>
          </cell>
          <cell r="E1283" t="str">
            <v/>
          </cell>
          <cell r="F1283" t="str">
            <v/>
          </cell>
          <cell r="G1283" t="str">
            <v/>
          </cell>
          <cell r="H1283" t="str">
            <v/>
          </cell>
          <cell r="I1283" t="str">
            <v/>
          </cell>
          <cell r="J1283" t="str">
            <v/>
          </cell>
          <cell r="K1283" t="str">
            <v/>
          </cell>
          <cell r="L1283" t="str">
            <v/>
          </cell>
          <cell r="M1283" t="str">
            <v/>
          </cell>
          <cell r="N1283" t="str">
            <v/>
          </cell>
          <cell r="O1283" t="str">
            <v/>
          </cell>
        </row>
        <row r="1284">
          <cell r="D1284" t="str">
            <v/>
          </cell>
          <cell r="E1284" t="str">
            <v/>
          </cell>
          <cell r="F1284" t="str">
            <v/>
          </cell>
          <cell r="G1284" t="str">
            <v/>
          </cell>
          <cell r="H1284" t="str">
            <v/>
          </cell>
          <cell r="I1284" t="str">
            <v/>
          </cell>
          <cell r="J1284" t="str">
            <v/>
          </cell>
          <cell r="K1284" t="str">
            <v/>
          </cell>
          <cell r="L1284" t="str">
            <v/>
          </cell>
          <cell r="M1284" t="str">
            <v/>
          </cell>
          <cell r="N1284" t="str">
            <v/>
          </cell>
          <cell r="O1284" t="str">
            <v/>
          </cell>
        </row>
        <row r="1285">
          <cell r="D1285" t="str">
            <v/>
          </cell>
          <cell r="E1285" t="str">
            <v/>
          </cell>
          <cell r="F1285" t="str">
            <v/>
          </cell>
          <cell r="G1285" t="str">
            <v/>
          </cell>
          <cell r="H1285" t="str">
            <v/>
          </cell>
          <cell r="I1285" t="str">
            <v/>
          </cell>
          <cell r="J1285" t="str">
            <v/>
          </cell>
          <cell r="K1285" t="str">
            <v/>
          </cell>
          <cell r="L1285" t="str">
            <v/>
          </cell>
          <cell r="M1285" t="str">
            <v/>
          </cell>
          <cell r="N1285" t="str">
            <v/>
          </cell>
          <cell r="O1285" t="str">
            <v/>
          </cell>
        </row>
        <row r="1286">
          <cell r="D1286" t="str">
            <v/>
          </cell>
          <cell r="E1286" t="str">
            <v/>
          </cell>
          <cell r="F1286" t="str">
            <v/>
          </cell>
          <cell r="G1286" t="str">
            <v/>
          </cell>
          <cell r="H1286" t="str">
            <v/>
          </cell>
          <cell r="I1286" t="str">
            <v/>
          </cell>
          <cell r="J1286" t="str">
            <v/>
          </cell>
          <cell r="K1286" t="str">
            <v/>
          </cell>
          <cell r="L1286" t="str">
            <v/>
          </cell>
          <cell r="M1286" t="str">
            <v/>
          </cell>
          <cell r="N1286" t="str">
            <v/>
          </cell>
          <cell r="O1286" t="str">
            <v/>
          </cell>
        </row>
        <row r="1287">
          <cell r="D1287" t="str">
            <v/>
          </cell>
          <cell r="E1287" t="str">
            <v/>
          </cell>
          <cell r="F1287" t="str">
            <v/>
          </cell>
          <cell r="G1287" t="str">
            <v/>
          </cell>
          <cell r="H1287" t="str">
            <v/>
          </cell>
          <cell r="I1287" t="str">
            <v/>
          </cell>
          <cell r="J1287" t="str">
            <v/>
          </cell>
          <cell r="K1287" t="str">
            <v/>
          </cell>
          <cell r="L1287" t="str">
            <v/>
          </cell>
          <cell r="M1287" t="str">
            <v/>
          </cell>
          <cell r="N1287" t="str">
            <v/>
          </cell>
          <cell r="O1287" t="str">
            <v/>
          </cell>
        </row>
        <row r="1288">
          <cell r="D1288" t="str">
            <v/>
          </cell>
          <cell r="E1288" t="str">
            <v/>
          </cell>
          <cell r="F1288" t="str">
            <v/>
          </cell>
          <cell r="G1288" t="str">
            <v/>
          </cell>
          <cell r="H1288" t="str">
            <v/>
          </cell>
          <cell r="I1288" t="str">
            <v/>
          </cell>
          <cell r="J1288" t="str">
            <v/>
          </cell>
          <cell r="K1288" t="str">
            <v/>
          </cell>
          <cell r="L1288" t="str">
            <v/>
          </cell>
          <cell r="M1288" t="str">
            <v/>
          </cell>
          <cell r="N1288" t="str">
            <v/>
          </cell>
          <cell r="O1288" t="str">
            <v/>
          </cell>
        </row>
        <row r="1289">
          <cell r="D1289" t="str">
            <v/>
          </cell>
          <cell r="E1289" t="str">
            <v/>
          </cell>
          <cell r="F1289" t="str">
            <v/>
          </cell>
          <cell r="G1289" t="str">
            <v/>
          </cell>
          <cell r="H1289" t="str">
            <v/>
          </cell>
          <cell r="I1289" t="str">
            <v/>
          </cell>
          <cell r="J1289" t="str">
            <v/>
          </cell>
          <cell r="K1289" t="str">
            <v/>
          </cell>
          <cell r="L1289" t="str">
            <v/>
          </cell>
          <cell r="M1289" t="str">
            <v/>
          </cell>
          <cell r="N1289" t="str">
            <v/>
          </cell>
          <cell r="O1289" t="str">
            <v/>
          </cell>
        </row>
        <row r="1290">
          <cell r="D1290" t="str">
            <v/>
          </cell>
          <cell r="E1290" t="str">
            <v/>
          </cell>
          <cell r="F1290" t="str">
            <v/>
          </cell>
          <cell r="G1290" t="str">
            <v/>
          </cell>
          <cell r="H1290" t="str">
            <v/>
          </cell>
          <cell r="I1290" t="str">
            <v/>
          </cell>
          <cell r="J1290" t="str">
            <v/>
          </cell>
          <cell r="K1290" t="str">
            <v/>
          </cell>
          <cell r="L1290" t="str">
            <v/>
          </cell>
          <cell r="M1290" t="str">
            <v/>
          </cell>
          <cell r="N1290" t="str">
            <v/>
          </cell>
          <cell r="O1290" t="str">
            <v/>
          </cell>
        </row>
        <row r="1291">
          <cell r="D1291" t="str">
            <v/>
          </cell>
          <cell r="E1291" t="str">
            <v/>
          </cell>
          <cell r="F1291" t="str">
            <v/>
          </cell>
          <cell r="G1291" t="str">
            <v/>
          </cell>
          <cell r="H1291" t="str">
            <v/>
          </cell>
          <cell r="I1291" t="str">
            <v/>
          </cell>
          <cell r="J1291" t="str">
            <v/>
          </cell>
          <cell r="K1291" t="str">
            <v/>
          </cell>
          <cell r="L1291" t="str">
            <v/>
          </cell>
          <cell r="M1291" t="str">
            <v/>
          </cell>
          <cell r="N1291" t="str">
            <v/>
          </cell>
          <cell r="O1291" t="str">
            <v/>
          </cell>
        </row>
        <row r="1292">
          <cell r="D1292" t="str">
            <v/>
          </cell>
          <cell r="E1292" t="str">
            <v/>
          </cell>
          <cell r="F1292" t="str">
            <v/>
          </cell>
          <cell r="G1292" t="str">
            <v/>
          </cell>
          <cell r="H1292" t="str">
            <v/>
          </cell>
          <cell r="I1292" t="str">
            <v/>
          </cell>
          <cell r="J1292" t="str">
            <v/>
          </cell>
          <cell r="K1292" t="str">
            <v/>
          </cell>
          <cell r="L1292" t="str">
            <v/>
          </cell>
          <cell r="M1292" t="str">
            <v/>
          </cell>
          <cell r="N1292" t="str">
            <v/>
          </cell>
          <cell r="O1292" t="str">
            <v/>
          </cell>
        </row>
        <row r="1293">
          <cell r="D1293" t="str">
            <v/>
          </cell>
          <cell r="E1293" t="str">
            <v/>
          </cell>
          <cell r="F1293" t="str">
            <v/>
          </cell>
          <cell r="G1293" t="str">
            <v/>
          </cell>
          <cell r="H1293" t="str">
            <v/>
          </cell>
          <cell r="I1293" t="str">
            <v/>
          </cell>
          <cell r="J1293" t="str">
            <v/>
          </cell>
          <cell r="K1293" t="str">
            <v/>
          </cell>
          <cell r="L1293" t="str">
            <v/>
          </cell>
          <cell r="M1293" t="str">
            <v/>
          </cell>
          <cell r="N1293" t="str">
            <v/>
          </cell>
          <cell r="O1293" t="str">
            <v/>
          </cell>
        </row>
        <row r="1294">
          <cell r="D1294" t="str">
            <v/>
          </cell>
          <cell r="E1294" t="str">
            <v/>
          </cell>
          <cell r="F1294" t="str">
            <v/>
          </cell>
          <cell r="G1294" t="str">
            <v/>
          </cell>
          <cell r="H1294" t="str">
            <v/>
          </cell>
          <cell r="I1294" t="str">
            <v/>
          </cell>
          <cell r="J1294" t="str">
            <v/>
          </cell>
          <cell r="K1294" t="str">
            <v/>
          </cell>
          <cell r="L1294" t="str">
            <v/>
          </cell>
          <cell r="M1294" t="str">
            <v/>
          </cell>
          <cell r="N1294" t="str">
            <v/>
          </cell>
          <cell r="O1294" t="str">
            <v/>
          </cell>
        </row>
        <row r="1295">
          <cell r="D1295" t="str">
            <v/>
          </cell>
          <cell r="E1295" t="str">
            <v/>
          </cell>
          <cell r="F1295" t="str">
            <v/>
          </cell>
          <cell r="G1295" t="str">
            <v/>
          </cell>
          <cell r="H1295" t="str">
            <v/>
          </cell>
          <cell r="I1295" t="str">
            <v/>
          </cell>
          <cell r="J1295" t="str">
            <v/>
          </cell>
          <cell r="K1295" t="str">
            <v/>
          </cell>
          <cell r="L1295" t="str">
            <v/>
          </cell>
          <cell r="M1295" t="str">
            <v/>
          </cell>
          <cell r="N1295" t="str">
            <v/>
          </cell>
          <cell r="O1295" t="str">
            <v/>
          </cell>
        </row>
        <row r="1296">
          <cell r="D1296" t="str">
            <v/>
          </cell>
          <cell r="E1296" t="str">
            <v/>
          </cell>
          <cell r="F1296" t="str">
            <v/>
          </cell>
          <cell r="G1296" t="str">
            <v/>
          </cell>
          <cell r="H1296" t="str">
            <v/>
          </cell>
          <cell r="I1296" t="str">
            <v/>
          </cell>
          <cell r="J1296" t="str">
            <v/>
          </cell>
          <cell r="K1296" t="str">
            <v/>
          </cell>
          <cell r="L1296" t="str">
            <v/>
          </cell>
          <cell r="M1296" t="str">
            <v/>
          </cell>
          <cell r="N1296" t="str">
            <v/>
          </cell>
          <cell r="O1296" t="str">
            <v/>
          </cell>
        </row>
        <row r="1297">
          <cell r="D1297" t="str">
            <v/>
          </cell>
          <cell r="E1297" t="str">
            <v/>
          </cell>
          <cell r="F1297" t="str">
            <v/>
          </cell>
          <cell r="G1297" t="str">
            <v/>
          </cell>
          <cell r="H1297" t="str">
            <v/>
          </cell>
          <cell r="I1297" t="str">
            <v/>
          </cell>
          <cell r="J1297" t="str">
            <v/>
          </cell>
          <cell r="K1297" t="str">
            <v/>
          </cell>
          <cell r="L1297" t="str">
            <v/>
          </cell>
          <cell r="M1297" t="str">
            <v/>
          </cell>
          <cell r="N1297" t="str">
            <v/>
          </cell>
          <cell r="O1297" t="str">
            <v/>
          </cell>
        </row>
        <row r="1298">
          <cell r="D1298" t="str">
            <v/>
          </cell>
          <cell r="E1298" t="str">
            <v/>
          </cell>
          <cell r="F1298" t="str">
            <v/>
          </cell>
          <cell r="G1298" t="str">
            <v/>
          </cell>
          <cell r="H1298" t="str">
            <v/>
          </cell>
          <cell r="I1298" t="str">
            <v/>
          </cell>
          <cell r="J1298" t="str">
            <v/>
          </cell>
          <cell r="K1298" t="str">
            <v/>
          </cell>
          <cell r="L1298" t="str">
            <v/>
          </cell>
          <cell r="M1298" t="str">
            <v/>
          </cell>
          <cell r="N1298" t="str">
            <v/>
          </cell>
          <cell r="O1298" t="str">
            <v/>
          </cell>
        </row>
        <row r="1299">
          <cell r="D1299" t="str">
            <v/>
          </cell>
          <cell r="E1299" t="str">
            <v/>
          </cell>
          <cell r="F1299" t="str">
            <v/>
          </cell>
          <cell r="G1299" t="str">
            <v/>
          </cell>
          <cell r="H1299" t="str">
            <v/>
          </cell>
          <cell r="I1299" t="str">
            <v/>
          </cell>
          <cell r="J1299" t="str">
            <v/>
          </cell>
          <cell r="K1299" t="str">
            <v/>
          </cell>
          <cell r="L1299" t="str">
            <v/>
          </cell>
          <cell r="M1299" t="str">
            <v/>
          </cell>
          <cell r="N1299" t="str">
            <v/>
          </cell>
          <cell r="O1299" t="str">
            <v/>
          </cell>
        </row>
        <row r="1300">
          <cell r="D1300" t="str">
            <v/>
          </cell>
          <cell r="E1300" t="str">
            <v/>
          </cell>
          <cell r="F1300" t="str">
            <v/>
          </cell>
          <cell r="G1300" t="str">
            <v/>
          </cell>
          <cell r="H1300" t="str">
            <v/>
          </cell>
          <cell r="I1300" t="str">
            <v/>
          </cell>
          <cell r="J1300" t="str">
            <v/>
          </cell>
          <cell r="K1300" t="str">
            <v/>
          </cell>
          <cell r="L1300" t="str">
            <v/>
          </cell>
          <cell r="M1300" t="str">
            <v/>
          </cell>
          <cell r="N1300" t="str">
            <v/>
          </cell>
          <cell r="O1300" t="str">
            <v/>
          </cell>
        </row>
        <row r="1301">
          <cell r="D1301" t="str">
            <v/>
          </cell>
          <cell r="E1301" t="str">
            <v/>
          </cell>
          <cell r="F1301" t="str">
            <v/>
          </cell>
          <cell r="G1301" t="str">
            <v/>
          </cell>
          <cell r="H1301" t="str">
            <v/>
          </cell>
          <cell r="I1301" t="str">
            <v/>
          </cell>
          <cell r="J1301" t="str">
            <v/>
          </cell>
          <cell r="K1301" t="str">
            <v/>
          </cell>
          <cell r="L1301" t="str">
            <v/>
          </cell>
          <cell r="M1301" t="str">
            <v/>
          </cell>
          <cell r="N1301" t="str">
            <v/>
          </cell>
          <cell r="O1301" t="str">
            <v/>
          </cell>
        </row>
        <row r="1302">
          <cell r="D1302" t="str">
            <v/>
          </cell>
          <cell r="E1302" t="str">
            <v/>
          </cell>
          <cell r="F1302" t="str">
            <v/>
          </cell>
          <cell r="G1302" t="str">
            <v/>
          </cell>
          <cell r="H1302" t="str">
            <v/>
          </cell>
          <cell r="I1302" t="str">
            <v/>
          </cell>
          <cell r="J1302" t="str">
            <v/>
          </cell>
          <cell r="K1302" t="str">
            <v/>
          </cell>
          <cell r="L1302" t="str">
            <v/>
          </cell>
          <cell r="M1302" t="str">
            <v/>
          </cell>
          <cell r="N1302" t="str">
            <v/>
          </cell>
          <cell r="O1302" t="str">
            <v/>
          </cell>
        </row>
        <row r="1303">
          <cell r="D1303" t="str">
            <v/>
          </cell>
          <cell r="E1303" t="str">
            <v/>
          </cell>
          <cell r="F1303" t="str">
            <v/>
          </cell>
          <cell r="G1303" t="str">
            <v/>
          </cell>
          <cell r="H1303" t="str">
            <v/>
          </cell>
          <cell r="I1303" t="str">
            <v/>
          </cell>
          <cell r="J1303" t="str">
            <v/>
          </cell>
          <cell r="K1303" t="str">
            <v/>
          </cell>
          <cell r="L1303" t="str">
            <v/>
          </cell>
          <cell r="M1303" t="str">
            <v/>
          </cell>
          <cell r="N1303" t="str">
            <v/>
          </cell>
          <cell r="O1303" t="str">
            <v/>
          </cell>
        </row>
        <row r="1304">
          <cell r="D1304" t="str">
            <v/>
          </cell>
          <cell r="E1304" t="str">
            <v/>
          </cell>
          <cell r="F1304" t="str">
            <v/>
          </cell>
          <cell r="G1304" t="str">
            <v/>
          </cell>
          <cell r="H1304" t="str">
            <v/>
          </cell>
          <cell r="I1304" t="str">
            <v/>
          </cell>
          <cell r="J1304" t="str">
            <v/>
          </cell>
          <cell r="K1304" t="str">
            <v/>
          </cell>
          <cell r="L1304" t="str">
            <v/>
          </cell>
          <cell r="M1304" t="str">
            <v/>
          </cell>
          <cell r="N1304" t="str">
            <v/>
          </cell>
          <cell r="O1304" t="str">
            <v/>
          </cell>
        </row>
        <row r="1305">
          <cell r="D1305" t="str">
            <v/>
          </cell>
          <cell r="E1305" t="str">
            <v/>
          </cell>
          <cell r="F1305" t="str">
            <v/>
          </cell>
          <cell r="G1305" t="str">
            <v/>
          </cell>
          <cell r="H1305" t="str">
            <v/>
          </cell>
          <cell r="I1305" t="str">
            <v/>
          </cell>
          <cell r="J1305" t="str">
            <v/>
          </cell>
          <cell r="K1305" t="str">
            <v/>
          </cell>
          <cell r="L1305" t="str">
            <v/>
          </cell>
          <cell r="M1305" t="str">
            <v/>
          </cell>
          <cell r="N1305" t="str">
            <v/>
          </cell>
          <cell r="O1305" t="str">
            <v/>
          </cell>
        </row>
        <row r="1306">
          <cell r="D1306" t="str">
            <v/>
          </cell>
          <cell r="E1306" t="str">
            <v/>
          </cell>
          <cell r="F1306" t="str">
            <v/>
          </cell>
          <cell r="G1306" t="str">
            <v/>
          </cell>
          <cell r="H1306" t="str">
            <v/>
          </cell>
          <cell r="I1306" t="str">
            <v/>
          </cell>
          <cell r="J1306" t="str">
            <v/>
          </cell>
          <cell r="K1306" t="str">
            <v/>
          </cell>
          <cell r="L1306" t="str">
            <v/>
          </cell>
          <cell r="M1306" t="str">
            <v/>
          </cell>
          <cell r="N1306" t="str">
            <v/>
          </cell>
          <cell r="O1306" t="str">
            <v/>
          </cell>
        </row>
        <row r="1307">
          <cell r="D1307" t="str">
            <v/>
          </cell>
          <cell r="E1307" t="str">
            <v/>
          </cell>
          <cell r="F1307" t="str">
            <v/>
          </cell>
          <cell r="G1307" t="str">
            <v/>
          </cell>
          <cell r="H1307" t="str">
            <v/>
          </cell>
          <cell r="I1307" t="str">
            <v/>
          </cell>
          <cell r="J1307" t="str">
            <v/>
          </cell>
          <cell r="K1307" t="str">
            <v/>
          </cell>
          <cell r="L1307" t="str">
            <v/>
          </cell>
          <cell r="M1307" t="str">
            <v/>
          </cell>
          <cell r="N1307" t="str">
            <v/>
          </cell>
          <cell r="O1307" t="str">
            <v/>
          </cell>
        </row>
        <row r="1308">
          <cell r="D1308" t="str">
            <v/>
          </cell>
          <cell r="E1308" t="str">
            <v/>
          </cell>
          <cell r="F1308" t="str">
            <v/>
          </cell>
          <cell r="G1308" t="str">
            <v/>
          </cell>
          <cell r="H1308" t="str">
            <v/>
          </cell>
          <cell r="I1308" t="str">
            <v/>
          </cell>
          <cell r="J1308" t="str">
            <v/>
          </cell>
          <cell r="K1308" t="str">
            <v/>
          </cell>
          <cell r="L1308" t="str">
            <v/>
          </cell>
          <cell r="M1308" t="str">
            <v/>
          </cell>
          <cell r="N1308" t="str">
            <v/>
          </cell>
          <cell r="O1308" t="str">
            <v/>
          </cell>
        </row>
        <row r="1309">
          <cell r="D1309" t="str">
            <v/>
          </cell>
          <cell r="E1309" t="str">
            <v/>
          </cell>
          <cell r="F1309" t="str">
            <v/>
          </cell>
          <cell r="G1309" t="str">
            <v/>
          </cell>
          <cell r="H1309" t="str">
            <v/>
          </cell>
          <cell r="I1309" t="str">
            <v/>
          </cell>
          <cell r="J1309" t="str">
            <v/>
          </cell>
          <cell r="K1309" t="str">
            <v/>
          </cell>
          <cell r="L1309" t="str">
            <v/>
          </cell>
          <cell r="M1309" t="str">
            <v/>
          </cell>
          <cell r="N1309" t="str">
            <v/>
          </cell>
          <cell r="O1309" t="str">
            <v/>
          </cell>
        </row>
        <row r="1310">
          <cell r="D1310" t="str">
            <v/>
          </cell>
          <cell r="E1310" t="str">
            <v/>
          </cell>
          <cell r="F1310" t="str">
            <v/>
          </cell>
          <cell r="G1310" t="str">
            <v/>
          </cell>
          <cell r="H1310" t="str">
            <v/>
          </cell>
          <cell r="I1310" t="str">
            <v/>
          </cell>
          <cell r="J1310" t="str">
            <v/>
          </cell>
          <cell r="K1310" t="str">
            <v/>
          </cell>
          <cell r="L1310" t="str">
            <v/>
          </cell>
          <cell r="M1310" t="str">
            <v/>
          </cell>
          <cell r="N1310" t="str">
            <v/>
          </cell>
          <cell r="O1310" t="str">
            <v/>
          </cell>
        </row>
        <row r="1311">
          <cell r="D1311" t="str">
            <v/>
          </cell>
          <cell r="E1311" t="str">
            <v/>
          </cell>
          <cell r="F1311" t="str">
            <v/>
          </cell>
          <cell r="G1311" t="str">
            <v/>
          </cell>
          <cell r="H1311" t="str">
            <v/>
          </cell>
          <cell r="I1311" t="str">
            <v/>
          </cell>
          <cell r="J1311" t="str">
            <v/>
          </cell>
          <cell r="K1311" t="str">
            <v/>
          </cell>
          <cell r="L1311" t="str">
            <v/>
          </cell>
          <cell r="M1311" t="str">
            <v/>
          </cell>
          <cell r="N1311" t="str">
            <v/>
          </cell>
          <cell r="O1311" t="str">
            <v/>
          </cell>
        </row>
        <row r="1312">
          <cell r="D1312" t="str">
            <v/>
          </cell>
          <cell r="E1312" t="str">
            <v/>
          </cell>
          <cell r="F1312" t="str">
            <v/>
          </cell>
          <cell r="G1312" t="str">
            <v/>
          </cell>
          <cell r="H1312" t="str">
            <v/>
          </cell>
          <cell r="I1312" t="str">
            <v/>
          </cell>
          <cell r="J1312" t="str">
            <v/>
          </cell>
          <cell r="K1312" t="str">
            <v/>
          </cell>
          <cell r="L1312" t="str">
            <v/>
          </cell>
          <cell r="M1312" t="str">
            <v/>
          </cell>
          <cell r="N1312" t="str">
            <v/>
          </cell>
          <cell r="O1312" t="str">
            <v/>
          </cell>
        </row>
        <row r="1313">
          <cell r="D1313" t="str">
            <v/>
          </cell>
          <cell r="E1313" t="str">
            <v/>
          </cell>
          <cell r="F1313" t="str">
            <v/>
          </cell>
          <cell r="G1313" t="str">
            <v/>
          </cell>
          <cell r="H1313" t="str">
            <v/>
          </cell>
          <cell r="I1313" t="str">
            <v/>
          </cell>
          <cell r="J1313" t="str">
            <v/>
          </cell>
          <cell r="K1313" t="str">
            <v/>
          </cell>
          <cell r="L1313" t="str">
            <v/>
          </cell>
          <cell r="M1313" t="str">
            <v/>
          </cell>
          <cell r="N1313" t="str">
            <v/>
          </cell>
          <cell r="O1313" t="str">
            <v/>
          </cell>
        </row>
        <row r="1314">
          <cell r="D1314" t="str">
            <v/>
          </cell>
          <cell r="E1314" t="str">
            <v/>
          </cell>
          <cell r="F1314" t="str">
            <v/>
          </cell>
          <cell r="G1314" t="str">
            <v/>
          </cell>
          <cell r="H1314" t="str">
            <v/>
          </cell>
          <cell r="I1314" t="str">
            <v/>
          </cell>
          <cell r="J1314" t="str">
            <v/>
          </cell>
          <cell r="K1314" t="str">
            <v/>
          </cell>
          <cell r="L1314" t="str">
            <v/>
          </cell>
          <cell r="M1314" t="str">
            <v/>
          </cell>
          <cell r="N1314" t="str">
            <v/>
          </cell>
          <cell r="O1314" t="str">
            <v/>
          </cell>
        </row>
        <row r="1315">
          <cell r="D1315" t="str">
            <v/>
          </cell>
          <cell r="E1315" t="str">
            <v/>
          </cell>
          <cell r="F1315" t="str">
            <v/>
          </cell>
          <cell r="G1315" t="str">
            <v/>
          </cell>
          <cell r="H1315" t="str">
            <v/>
          </cell>
          <cell r="I1315" t="str">
            <v/>
          </cell>
          <cell r="J1315" t="str">
            <v/>
          </cell>
          <cell r="K1315" t="str">
            <v/>
          </cell>
          <cell r="L1315" t="str">
            <v/>
          </cell>
          <cell r="M1315" t="str">
            <v/>
          </cell>
          <cell r="N1315" t="str">
            <v/>
          </cell>
          <cell r="O1315" t="str">
            <v/>
          </cell>
        </row>
        <row r="1316">
          <cell r="D1316" t="str">
            <v/>
          </cell>
          <cell r="E1316" t="str">
            <v/>
          </cell>
          <cell r="F1316" t="str">
            <v/>
          </cell>
          <cell r="G1316" t="str">
            <v/>
          </cell>
          <cell r="H1316" t="str">
            <v/>
          </cell>
          <cell r="I1316" t="str">
            <v/>
          </cell>
          <cell r="J1316" t="str">
            <v/>
          </cell>
          <cell r="K1316" t="str">
            <v/>
          </cell>
          <cell r="L1316" t="str">
            <v/>
          </cell>
          <cell r="M1316" t="str">
            <v/>
          </cell>
          <cell r="N1316" t="str">
            <v/>
          </cell>
          <cell r="O1316" t="str">
            <v/>
          </cell>
        </row>
        <row r="1317">
          <cell r="D1317" t="str">
            <v/>
          </cell>
          <cell r="E1317" t="str">
            <v/>
          </cell>
          <cell r="F1317" t="str">
            <v/>
          </cell>
          <cell r="G1317" t="str">
            <v/>
          </cell>
          <cell r="H1317" t="str">
            <v/>
          </cell>
          <cell r="I1317" t="str">
            <v/>
          </cell>
          <cell r="J1317" t="str">
            <v/>
          </cell>
          <cell r="K1317" t="str">
            <v/>
          </cell>
          <cell r="L1317" t="str">
            <v/>
          </cell>
          <cell r="M1317" t="str">
            <v/>
          </cell>
          <cell r="N1317" t="str">
            <v/>
          </cell>
          <cell r="O1317" t="str">
            <v/>
          </cell>
        </row>
        <row r="1318">
          <cell r="D1318" t="str">
            <v/>
          </cell>
          <cell r="E1318" t="str">
            <v/>
          </cell>
          <cell r="F1318" t="str">
            <v/>
          </cell>
          <cell r="G1318" t="str">
            <v/>
          </cell>
          <cell r="H1318" t="str">
            <v/>
          </cell>
          <cell r="I1318" t="str">
            <v/>
          </cell>
          <cell r="J1318" t="str">
            <v/>
          </cell>
          <cell r="K1318" t="str">
            <v/>
          </cell>
          <cell r="L1318" t="str">
            <v/>
          </cell>
          <cell r="M1318" t="str">
            <v/>
          </cell>
          <cell r="N1318" t="str">
            <v/>
          </cell>
          <cell r="O1318" t="str">
            <v/>
          </cell>
        </row>
        <row r="1319">
          <cell r="D1319" t="str">
            <v/>
          </cell>
          <cell r="E1319" t="str">
            <v/>
          </cell>
          <cell r="F1319" t="str">
            <v/>
          </cell>
          <cell r="G1319" t="str">
            <v/>
          </cell>
          <cell r="H1319" t="str">
            <v/>
          </cell>
          <cell r="I1319" t="str">
            <v/>
          </cell>
          <cell r="J1319" t="str">
            <v/>
          </cell>
          <cell r="K1319" t="str">
            <v/>
          </cell>
          <cell r="L1319" t="str">
            <v/>
          </cell>
          <cell r="M1319" t="str">
            <v/>
          </cell>
          <cell r="N1319" t="str">
            <v/>
          </cell>
          <cell r="O1319" t="str">
            <v/>
          </cell>
        </row>
        <row r="1320">
          <cell r="D1320" t="str">
            <v/>
          </cell>
          <cell r="E1320" t="str">
            <v/>
          </cell>
          <cell r="F1320" t="str">
            <v/>
          </cell>
          <cell r="G1320" t="str">
            <v/>
          </cell>
          <cell r="H1320" t="str">
            <v/>
          </cell>
          <cell r="I1320" t="str">
            <v/>
          </cell>
          <cell r="J1320" t="str">
            <v/>
          </cell>
          <cell r="K1320" t="str">
            <v/>
          </cell>
          <cell r="L1320" t="str">
            <v/>
          </cell>
          <cell r="M1320" t="str">
            <v/>
          </cell>
          <cell r="N1320" t="str">
            <v/>
          </cell>
          <cell r="O1320" t="str">
            <v/>
          </cell>
        </row>
        <row r="1321">
          <cell r="D1321" t="str">
            <v/>
          </cell>
          <cell r="E1321" t="str">
            <v/>
          </cell>
          <cell r="F1321" t="str">
            <v/>
          </cell>
          <cell r="G1321" t="str">
            <v/>
          </cell>
          <cell r="H1321" t="str">
            <v/>
          </cell>
          <cell r="I1321" t="str">
            <v/>
          </cell>
          <cell r="J1321" t="str">
            <v/>
          </cell>
          <cell r="K1321" t="str">
            <v/>
          </cell>
          <cell r="L1321" t="str">
            <v/>
          </cell>
          <cell r="M1321" t="str">
            <v/>
          </cell>
          <cell r="N1321" t="str">
            <v/>
          </cell>
          <cell r="O1321" t="str">
            <v/>
          </cell>
        </row>
        <row r="1322">
          <cell r="D1322" t="str">
            <v/>
          </cell>
          <cell r="E1322" t="str">
            <v/>
          </cell>
          <cell r="F1322" t="str">
            <v/>
          </cell>
          <cell r="G1322" t="str">
            <v/>
          </cell>
          <cell r="H1322" t="str">
            <v/>
          </cell>
          <cell r="I1322" t="str">
            <v/>
          </cell>
          <cell r="J1322" t="str">
            <v/>
          </cell>
          <cell r="K1322" t="str">
            <v/>
          </cell>
          <cell r="L1322" t="str">
            <v/>
          </cell>
          <cell r="M1322" t="str">
            <v/>
          </cell>
          <cell r="N1322" t="str">
            <v/>
          </cell>
          <cell r="O1322" t="str">
            <v/>
          </cell>
        </row>
        <row r="1323">
          <cell r="D1323" t="str">
            <v/>
          </cell>
          <cell r="E1323" t="str">
            <v/>
          </cell>
          <cell r="F1323" t="str">
            <v/>
          </cell>
          <cell r="G1323" t="str">
            <v/>
          </cell>
          <cell r="H1323" t="str">
            <v/>
          </cell>
          <cell r="I1323" t="str">
            <v/>
          </cell>
          <cell r="J1323" t="str">
            <v/>
          </cell>
          <cell r="K1323" t="str">
            <v/>
          </cell>
          <cell r="L1323" t="str">
            <v/>
          </cell>
          <cell r="M1323" t="str">
            <v/>
          </cell>
          <cell r="N1323" t="str">
            <v/>
          </cell>
          <cell r="O1323" t="str">
            <v/>
          </cell>
        </row>
        <row r="1324">
          <cell r="D1324" t="str">
            <v/>
          </cell>
          <cell r="E1324" t="str">
            <v/>
          </cell>
          <cell r="F1324" t="str">
            <v/>
          </cell>
          <cell r="G1324" t="str">
            <v/>
          </cell>
          <cell r="H1324" t="str">
            <v/>
          </cell>
          <cell r="I1324" t="str">
            <v/>
          </cell>
          <cell r="J1324" t="str">
            <v/>
          </cell>
          <cell r="K1324" t="str">
            <v/>
          </cell>
          <cell r="L1324" t="str">
            <v/>
          </cell>
          <cell r="M1324" t="str">
            <v/>
          </cell>
          <cell r="N1324" t="str">
            <v/>
          </cell>
          <cell r="O1324" t="str">
            <v/>
          </cell>
        </row>
        <row r="1325">
          <cell r="D1325" t="str">
            <v/>
          </cell>
          <cell r="E1325" t="str">
            <v/>
          </cell>
          <cell r="F1325" t="str">
            <v/>
          </cell>
          <cell r="G1325" t="str">
            <v/>
          </cell>
          <cell r="H1325" t="str">
            <v/>
          </cell>
          <cell r="I1325" t="str">
            <v/>
          </cell>
          <cell r="J1325" t="str">
            <v/>
          </cell>
          <cell r="K1325" t="str">
            <v/>
          </cell>
          <cell r="L1325" t="str">
            <v/>
          </cell>
          <cell r="M1325" t="str">
            <v/>
          </cell>
          <cell r="N1325" t="str">
            <v/>
          </cell>
          <cell r="O1325" t="str">
            <v/>
          </cell>
        </row>
        <row r="1326">
          <cell r="D1326" t="str">
            <v/>
          </cell>
          <cell r="E1326" t="str">
            <v/>
          </cell>
          <cell r="F1326" t="str">
            <v/>
          </cell>
          <cell r="G1326" t="str">
            <v/>
          </cell>
          <cell r="H1326" t="str">
            <v/>
          </cell>
          <cell r="I1326" t="str">
            <v/>
          </cell>
          <cell r="J1326" t="str">
            <v/>
          </cell>
          <cell r="K1326" t="str">
            <v/>
          </cell>
          <cell r="L1326" t="str">
            <v/>
          </cell>
          <cell r="M1326" t="str">
            <v/>
          </cell>
          <cell r="N1326" t="str">
            <v/>
          </cell>
          <cell r="O1326" t="str">
            <v/>
          </cell>
        </row>
        <row r="1327">
          <cell r="D1327" t="str">
            <v/>
          </cell>
          <cell r="E1327" t="str">
            <v/>
          </cell>
          <cell r="F1327" t="str">
            <v/>
          </cell>
          <cell r="G1327" t="str">
            <v/>
          </cell>
          <cell r="H1327" t="str">
            <v/>
          </cell>
          <cell r="I1327" t="str">
            <v/>
          </cell>
          <cell r="J1327" t="str">
            <v/>
          </cell>
          <cell r="K1327" t="str">
            <v/>
          </cell>
          <cell r="L1327" t="str">
            <v/>
          </cell>
          <cell r="M1327" t="str">
            <v/>
          </cell>
          <cell r="N1327" t="str">
            <v/>
          </cell>
          <cell r="O1327" t="str">
            <v/>
          </cell>
        </row>
        <row r="1328">
          <cell r="D1328" t="str">
            <v/>
          </cell>
          <cell r="E1328" t="str">
            <v/>
          </cell>
          <cell r="F1328" t="str">
            <v/>
          </cell>
          <cell r="G1328" t="str">
            <v/>
          </cell>
          <cell r="H1328" t="str">
            <v/>
          </cell>
          <cell r="I1328" t="str">
            <v/>
          </cell>
          <cell r="J1328" t="str">
            <v/>
          </cell>
          <cell r="K1328" t="str">
            <v/>
          </cell>
          <cell r="L1328" t="str">
            <v/>
          </cell>
          <cell r="M1328" t="str">
            <v/>
          </cell>
          <cell r="N1328" t="str">
            <v/>
          </cell>
          <cell r="O1328" t="str">
            <v/>
          </cell>
        </row>
        <row r="1329">
          <cell r="D1329" t="str">
            <v/>
          </cell>
          <cell r="E1329" t="str">
            <v/>
          </cell>
          <cell r="F1329" t="str">
            <v/>
          </cell>
          <cell r="G1329" t="str">
            <v/>
          </cell>
          <cell r="H1329" t="str">
            <v/>
          </cell>
          <cell r="I1329" t="str">
            <v/>
          </cell>
          <cell r="J1329" t="str">
            <v/>
          </cell>
          <cell r="K1329" t="str">
            <v/>
          </cell>
          <cell r="L1329" t="str">
            <v/>
          </cell>
          <cell r="M1329" t="str">
            <v/>
          </cell>
          <cell r="N1329" t="str">
            <v/>
          </cell>
          <cell r="O1329" t="str">
            <v/>
          </cell>
        </row>
        <row r="1330">
          <cell r="D1330" t="str">
            <v/>
          </cell>
          <cell r="E1330" t="str">
            <v/>
          </cell>
          <cell r="F1330" t="str">
            <v/>
          </cell>
          <cell r="G1330" t="str">
            <v/>
          </cell>
          <cell r="H1330" t="str">
            <v/>
          </cell>
          <cell r="I1330" t="str">
            <v/>
          </cell>
          <cell r="J1330" t="str">
            <v/>
          </cell>
          <cell r="K1330" t="str">
            <v/>
          </cell>
          <cell r="L1330" t="str">
            <v/>
          </cell>
          <cell r="M1330" t="str">
            <v/>
          </cell>
          <cell r="N1330" t="str">
            <v/>
          </cell>
          <cell r="O1330" t="str">
            <v/>
          </cell>
        </row>
        <row r="1331">
          <cell r="D1331" t="str">
            <v/>
          </cell>
          <cell r="E1331" t="str">
            <v/>
          </cell>
          <cell r="F1331" t="str">
            <v/>
          </cell>
          <cell r="G1331" t="str">
            <v/>
          </cell>
          <cell r="H1331" t="str">
            <v/>
          </cell>
          <cell r="I1331" t="str">
            <v/>
          </cell>
          <cell r="J1331" t="str">
            <v/>
          </cell>
          <cell r="K1331" t="str">
            <v/>
          </cell>
          <cell r="L1331" t="str">
            <v/>
          </cell>
          <cell r="M1331" t="str">
            <v/>
          </cell>
          <cell r="N1331" t="str">
            <v/>
          </cell>
          <cell r="O1331" t="str">
            <v/>
          </cell>
        </row>
        <row r="1332">
          <cell r="D1332" t="str">
            <v/>
          </cell>
          <cell r="E1332" t="str">
            <v/>
          </cell>
          <cell r="F1332" t="str">
            <v/>
          </cell>
          <cell r="G1332" t="str">
            <v/>
          </cell>
          <cell r="H1332" t="str">
            <v/>
          </cell>
          <cell r="I1332" t="str">
            <v/>
          </cell>
          <cell r="J1332" t="str">
            <v/>
          </cell>
          <cell r="K1332" t="str">
            <v/>
          </cell>
          <cell r="L1332" t="str">
            <v/>
          </cell>
          <cell r="M1332" t="str">
            <v/>
          </cell>
          <cell r="N1332" t="str">
            <v/>
          </cell>
          <cell r="O1332" t="str">
            <v/>
          </cell>
        </row>
        <row r="1333">
          <cell r="D1333" t="str">
            <v/>
          </cell>
          <cell r="E1333" t="str">
            <v/>
          </cell>
          <cell r="F1333" t="str">
            <v/>
          </cell>
          <cell r="G1333" t="str">
            <v/>
          </cell>
          <cell r="H1333" t="str">
            <v/>
          </cell>
          <cell r="I1333" t="str">
            <v/>
          </cell>
          <cell r="J1333" t="str">
            <v/>
          </cell>
          <cell r="K1333" t="str">
            <v/>
          </cell>
          <cell r="L1333" t="str">
            <v/>
          </cell>
          <cell r="M1333" t="str">
            <v/>
          </cell>
          <cell r="N1333" t="str">
            <v/>
          </cell>
          <cell r="O1333" t="str">
            <v/>
          </cell>
        </row>
        <row r="1334">
          <cell r="D1334" t="str">
            <v/>
          </cell>
          <cell r="E1334" t="str">
            <v/>
          </cell>
          <cell r="F1334" t="str">
            <v/>
          </cell>
          <cell r="G1334" t="str">
            <v/>
          </cell>
          <cell r="H1334" t="str">
            <v/>
          </cell>
          <cell r="I1334" t="str">
            <v/>
          </cell>
          <cell r="J1334" t="str">
            <v/>
          </cell>
          <cell r="K1334" t="str">
            <v/>
          </cell>
          <cell r="L1334" t="str">
            <v/>
          </cell>
          <cell r="M1334" t="str">
            <v/>
          </cell>
          <cell r="N1334" t="str">
            <v/>
          </cell>
          <cell r="O1334" t="str">
            <v/>
          </cell>
        </row>
        <row r="1335">
          <cell r="D1335" t="str">
            <v/>
          </cell>
          <cell r="E1335" t="str">
            <v/>
          </cell>
          <cell r="F1335" t="str">
            <v/>
          </cell>
          <cell r="G1335" t="str">
            <v/>
          </cell>
          <cell r="H1335" t="str">
            <v/>
          </cell>
          <cell r="I1335" t="str">
            <v/>
          </cell>
          <cell r="J1335" t="str">
            <v/>
          </cell>
          <cell r="K1335" t="str">
            <v/>
          </cell>
          <cell r="L1335" t="str">
            <v/>
          </cell>
          <cell r="M1335" t="str">
            <v/>
          </cell>
          <cell r="N1335" t="str">
            <v/>
          </cell>
          <cell r="O1335" t="str">
            <v/>
          </cell>
        </row>
        <row r="1336">
          <cell r="D1336" t="str">
            <v/>
          </cell>
          <cell r="E1336" t="str">
            <v/>
          </cell>
          <cell r="F1336" t="str">
            <v/>
          </cell>
          <cell r="G1336" t="str">
            <v/>
          </cell>
          <cell r="H1336" t="str">
            <v/>
          </cell>
          <cell r="I1336" t="str">
            <v/>
          </cell>
          <cell r="J1336" t="str">
            <v/>
          </cell>
          <cell r="K1336" t="str">
            <v/>
          </cell>
          <cell r="L1336" t="str">
            <v/>
          </cell>
          <cell r="M1336" t="str">
            <v/>
          </cell>
          <cell r="N1336" t="str">
            <v/>
          </cell>
          <cell r="O1336" t="str">
            <v/>
          </cell>
        </row>
        <row r="1337">
          <cell r="D1337" t="str">
            <v/>
          </cell>
          <cell r="E1337" t="str">
            <v/>
          </cell>
          <cell r="F1337" t="str">
            <v/>
          </cell>
          <cell r="G1337" t="str">
            <v/>
          </cell>
          <cell r="H1337" t="str">
            <v/>
          </cell>
          <cell r="I1337" t="str">
            <v/>
          </cell>
          <cell r="J1337" t="str">
            <v/>
          </cell>
          <cell r="K1337" t="str">
            <v/>
          </cell>
          <cell r="L1337" t="str">
            <v/>
          </cell>
          <cell r="M1337" t="str">
            <v/>
          </cell>
          <cell r="N1337" t="str">
            <v/>
          </cell>
          <cell r="O1337" t="str">
            <v/>
          </cell>
        </row>
        <row r="1338">
          <cell r="D1338" t="str">
            <v/>
          </cell>
          <cell r="E1338" t="str">
            <v/>
          </cell>
          <cell r="F1338" t="str">
            <v/>
          </cell>
          <cell r="G1338" t="str">
            <v/>
          </cell>
          <cell r="H1338" t="str">
            <v/>
          </cell>
          <cell r="I1338" t="str">
            <v/>
          </cell>
          <cell r="J1338" t="str">
            <v/>
          </cell>
          <cell r="K1338" t="str">
            <v/>
          </cell>
          <cell r="L1338" t="str">
            <v/>
          </cell>
          <cell r="M1338" t="str">
            <v/>
          </cell>
          <cell r="N1338" t="str">
            <v/>
          </cell>
          <cell r="O1338" t="str">
            <v/>
          </cell>
        </row>
        <row r="1339">
          <cell r="D1339" t="str">
            <v/>
          </cell>
          <cell r="E1339" t="str">
            <v/>
          </cell>
          <cell r="F1339" t="str">
            <v/>
          </cell>
          <cell r="G1339" t="str">
            <v/>
          </cell>
          <cell r="H1339" t="str">
            <v/>
          </cell>
          <cell r="I1339" t="str">
            <v/>
          </cell>
          <cell r="J1339" t="str">
            <v/>
          </cell>
          <cell r="K1339" t="str">
            <v/>
          </cell>
          <cell r="L1339" t="str">
            <v/>
          </cell>
          <cell r="M1339" t="str">
            <v/>
          </cell>
          <cell r="N1339" t="str">
            <v/>
          </cell>
          <cell r="O1339" t="str">
            <v/>
          </cell>
        </row>
        <row r="1340">
          <cell r="D1340" t="str">
            <v/>
          </cell>
          <cell r="E1340" t="str">
            <v/>
          </cell>
          <cell r="F1340" t="str">
            <v/>
          </cell>
          <cell r="G1340" t="str">
            <v/>
          </cell>
          <cell r="H1340" t="str">
            <v/>
          </cell>
          <cell r="I1340" t="str">
            <v/>
          </cell>
          <cell r="J1340" t="str">
            <v/>
          </cell>
          <cell r="K1340" t="str">
            <v/>
          </cell>
          <cell r="L1340" t="str">
            <v/>
          </cell>
          <cell r="M1340" t="str">
            <v/>
          </cell>
          <cell r="N1340" t="str">
            <v/>
          </cell>
          <cell r="O1340" t="str">
            <v/>
          </cell>
        </row>
        <row r="1341">
          <cell r="D1341" t="str">
            <v/>
          </cell>
          <cell r="E1341" t="str">
            <v/>
          </cell>
          <cell r="F1341" t="str">
            <v/>
          </cell>
          <cell r="G1341" t="str">
            <v/>
          </cell>
          <cell r="H1341" t="str">
            <v/>
          </cell>
          <cell r="I1341" t="str">
            <v/>
          </cell>
          <cell r="J1341" t="str">
            <v/>
          </cell>
          <cell r="K1341" t="str">
            <v/>
          </cell>
          <cell r="L1341" t="str">
            <v/>
          </cell>
          <cell r="M1341" t="str">
            <v/>
          </cell>
          <cell r="N1341" t="str">
            <v/>
          </cell>
          <cell r="O1341" t="str">
            <v/>
          </cell>
        </row>
        <row r="1342">
          <cell r="D1342" t="str">
            <v/>
          </cell>
          <cell r="E1342" t="str">
            <v/>
          </cell>
          <cell r="F1342" t="str">
            <v/>
          </cell>
          <cell r="G1342" t="str">
            <v/>
          </cell>
          <cell r="H1342" t="str">
            <v/>
          </cell>
          <cell r="I1342" t="str">
            <v/>
          </cell>
          <cell r="J1342" t="str">
            <v/>
          </cell>
          <cell r="K1342" t="str">
            <v/>
          </cell>
          <cell r="L1342" t="str">
            <v/>
          </cell>
          <cell r="M1342" t="str">
            <v/>
          </cell>
          <cell r="N1342" t="str">
            <v/>
          </cell>
          <cell r="O1342" t="str">
            <v/>
          </cell>
        </row>
        <row r="1343">
          <cell r="D1343" t="str">
            <v/>
          </cell>
          <cell r="E1343" t="str">
            <v/>
          </cell>
          <cell r="F1343" t="str">
            <v/>
          </cell>
          <cell r="G1343" t="str">
            <v/>
          </cell>
          <cell r="H1343" t="str">
            <v/>
          </cell>
          <cell r="I1343" t="str">
            <v/>
          </cell>
          <cell r="J1343" t="str">
            <v/>
          </cell>
          <cell r="K1343" t="str">
            <v/>
          </cell>
          <cell r="L1343" t="str">
            <v/>
          </cell>
          <cell r="M1343" t="str">
            <v/>
          </cell>
          <cell r="N1343" t="str">
            <v/>
          </cell>
          <cell r="O1343" t="str">
            <v/>
          </cell>
        </row>
        <row r="1344">
          <cell r="D1344" t="str">
            <v/>
          </cell>
          <cell r="E1344" t="str">
            <v/>
          </cell>
          <cell r="F1344" t="str">
            <v/>
          </cell>
          <cell r="G1344" t="str">
            <v/>
          </cell>
          <cell r="H1344" t="str">
            <v/>
          </cell>
          <cell r="I1344" t="str">
            <v/>
          </cell>
          <cell r="J1344" t="str">
            <v/>
          </cell>
          <cell r="K1344" t="str">
            <v/>
          </cell>
          <cell r="L1344" t="str">
            <v/>
          </cell>
          <cell r="M1344" t="str">
            <v/>
          </cell>
          <cell r="N1344" t="str">
            <v/>
          </cell>
          <cell r="O1344" t="str">
            <v/>
          </cell>
        </row>
        <row r="1345">
          <cell r="D1345" t="str">
            <v/>
          </cell>
          <cell r="E1345" t="str">
            <v/>
          </cell>
          <cell r="F1345" t="str">
            <v/>
          </cell>
          <cell r="G1345" t="str">
            <v/>
          </cell>
          <cell r="H1345" t="str">
            <v/>
          </cell>
          <cell r="I1345" t="str">
            <v/>
          </cell>
          <cell r="J1345" t="str">
            <v/>
          </cell>
          <cell r="K1345" t="str">
            <v/>
          </cell>
          <cell r="L1345" t="str">
            <v/>
          </cell>
          <cell r="M1345" t="str">
            <v/>
          </cell>
          <cell r="N1345" t="str">
            <v/>
          </cell>
          <cell r="O1345" t="str">
            <v/>
          </cell>
        </row>
        <row r="1346">
          <cell r="D1346" t="str">
            <v/>
          </cell>
          <cell r="E1346" t="str">
            <v/>
          </cell>
          <cell r="F1346" t="str">
            <v/>
          </cell>
          <cell r="G1346" t="str">
            <v/>
          </cell>
          <cell r="H1346" t="str">
            <v/>
          </cell>
          <cell r="I1346" t="str">
            <v/>
          </cell>
          <cell r="J1346" t="str">
            <v/>
          </cell>
          <cell r="K1346" t="str">
            <v/>
          </cell>
          <cell r="L1346" t="str">
            <v/>
          </cell>
          <cell r="M1346" t="str">
            <v/>
          </cell>
          <cell r="N1346" t="str">
            <v/>
          </cell>
          <cell r="O1346" t="str">
            <v/>
          </cell>
        </row>
        <row r="1347">
          <cell r="D1347" t="str">
            <v/>
          </cell>
          <cell r="E1347" t="str">
            <v/>
          </cell>
          <cell r="F1347" t="str">
            <v/>
          </cell>
          <cell r="G1347" t="str">
            <v/>
          </cell>
          <cell r="H1347" t="str">
            <v/>
          </cell>
          <cell r="I1347" t="str">
            <v/>
          </cell>
          <cell r="J1347" t="str">
            <v/>
          </cell>
          <cell r="K1347" t="str">
            <v/>
          </cell>
          <cell r="L1347" t="str">
            <v/>
          </cell>
          <cell r="M1347" t="str">
            <v/>
          </cell>
          <cell r="N1347" t="str">
            <v/>
          </cell>
          <cell r="O1347" t="str">
            <v/>
          </cell>
        </row>
        <row r="1348">
          <cell r="D1348" t="str">
            <v/>
          </cell>
          <cell r="E1348" t="str">
            <v/>
          </cell>
          <cell r="F1348" t="str">
            <v/>
          </cell>
          <cell r="G1348" t="str">
            <v/>
          </cell>
          <cell r="H1348" t="str">
            <v/>
          </cell>
          <cell r="I1348" t="str">
            <v/>
          </cell>
          <cell r="J1348" t="str">
            <v/>
          </cell>
          <cell r="K1348" t="str">
            <v/>
          </cell>
          <cell r="L1348" t="str">
            <v/>
          </cell>
          <cell r="M1348" t="str">
            <v/>
          </cell>
          <cell r="N1348" t="str">
            <v/>
          </cell>
          <cell r="O1348" t="str">
            <v/>
          </cell>
        </row>
        <row r="1349">
          <cell r="D1349" t="str">
            <v/>
          </cell>
          <cell r="E1349" t="str">
            <v/>
          </cell>
          <cell r="F1349" t="str">
            <v/>
          </cell>
          <cell r="G1349" t="str">
            <v/>
          </cell>
          <cell r="H1349" t="str">
            <v/>
          </cell>
          <cell r="I1349" t="str">
            <v/>
          </cell>
          <cell r="J1349" t="str">
            <v/>
          </cell>
          <cell r="K1349" t="str">
            <v/>
          </cell>
          <cell r="L1349" t="str">
            <v/>
          </cell>
          <cell r="M1349" t="str">
            <v/>
          </cell>
          <cell r="N1349" t="str">
            <v/>
          </cell>
          <cell r="O1349" t="str">
            <v/>
          </cell>
        </row>
        <row r="1350">
          <cell r="D1350" t="str">
            <v/>
          </cell>
          <cell r="E1350" t="str">
            <v/>
          </cell>
          <cell r="F1350" t="str">
            <v/>
          </cell>
          <cell r="G1350" t="str">
            <v/>
          </cell>
          <cell r="H1350" t="str">
            <v/>
          </cell>
          <cell r="I1350" t="str">
            <v/>
          </cell>
          <cell r="J1350" t="str">
            <v/>
          </cell>
          <cell r="K1350" t="str">
            <v/>
          </cell>
          <cell r="L1350" t="str">
            <v/>
          </cell>
          <cell r="M1350" t="str">
            <v/>
          </cell>
          <cell r="N1350" t="str">
            <v/>
          </cell>
          <cell r="O1350" t="str">
            <v/>
          </cell>
        </row>
        <row r="1351">
          <cell r="D1351" t="str">
            <v/>
          </cell>
          <cell r="E1351" t="str">
            <v/>
          </cell>
          <cell r="F1351" t="str">
            <v/>
          </cell>
          <cell r="G1351" t="str">
            <v/>
          </cell>
          <cell r="H1351" t="str">
            <v/>
          </cell>
          <cell r="I1351" t="str">
            <v/>
          </cell>
          <cell r="J1351" t="str">
            <v/>
          </cell>
          <cell r="K1351" t="str">
            <v/>
          </cell>
          <cell r="L1351" t="str">
            <v/>
          </cell>
          <cell r="M1351" t="str">
            <v/>
          </cell>
          <cell r="N1351" t="str">
            <v/>
          </cell>
          <cell r="O1351" t="str">
            <v/>
          </cell>
        </row>
        <row r="1352">
          <cell r="D1352" t="str">
            <v/>
          </cell>
          <cell r="E1352" t="str">
            <v/>
          </cell>
          <cell r="F1352" t="str">
            <v/>
          </cell>
          <cell r="G1352" t="str">
            <v/>
          </cell>
          <cell r="H1352" t="str">
            <v/>
          </cell>
          <cell r="I1352" t="str">
            <v/>
          </cell>
          <cell r="J1352" t="str">
            <v/>
          </cell>
          <cell r="K1352" t="str">
            <v/>
          </cell>
          <cell r="L1352" t="str">
            <v/>
          </cell>
          <cell r="M1352" t="str">
            <v/>
          </cell>
          <cell r="N1352" t="str">
            <v/>
          </cell>
          <cell r="O1352" t="str">
            <v/>
          </cell>
        </row>
        <row r="1353">
          <cell r="D1353" t="str">
            <v/>
          </cell>
          <cell r="E1353" t="str">
            <v/>
          </cell>
          <cell r="F1353" t="str">
            <v/>
          </cell>
          <cell r="G1353" t="str">
            <v/>
          </cell>
          <cell r="H1353" t="str">
            <v/>
          </cell>
          <cell r="I1353" t="str">
            <v/>
          </cell>
          <cell r="J1353" t="str">
            <v/>
          </cell>
          <cell r="K1353" t="str">
            <v/>
          </cell>
          <cell r="L1353" t="str">
            <v/>
          </cell>
          <cell r="M1353" t="str">
            <v/>
          </cell>
          <cell r="N1353" t="str">
            <v/>
          </cell>
          <cell r="O1353" t="str">
            <v/>
          </cell>
        </row>
        <row r="1354">
          <cell r="D1354" t="str">
            <v/>
          </cell>
          <cell r="E1354" t="str">
            <v/>
          </cell>
          <cell r="F1354" t="str">
            <v/>
          </cell>
          <cell r="G1354" t="str">
            <v/>
          </cell>
          <cell r="H1354" t="str">
            <v/>
          </cell>
          <cell r="I1354" t="str">
            <v/>
          </cell>
          <cell r="J1354" t="str">
            <v/>
          </cell>
          <cell r="K1354" t="str">
            <v/>
          </cell>
          <cell r="L1354" t="str">
            <v/>
          </cell>
          <cell r="M1354" t="str">
            <v/>
          </cell>
          <cell r="N1354" t="str">
            <v/>
          </cell>
          <cell r="O1354" t="str">
            <v/>
          </cell>
        </row>
        <row r="1355">
          <cell r="D1355" t="str">
            <v/>
          </cell>
          <cell r="E1355" t="str">
            <v/>
          </cell>
          <cell r="F1355" t="str">
            <v/>
          </cell>
          <cell r="G1355" t="str">
            <v/>
          </cell>
          <cell r="H1355" t="str">
            <v/>
          </cell>
          <cell r="I1355" t="str">
            <v/>
          </cell>
          <cell r="J1355" t="str">
            <v/>
          </cell>
          <cell r="K1355" t="str">
            <v/>
          </cell>
          <cell r="L1355" t="str">
            <v/>
          </cell>
          <cell r="M1355" t="str">
            <v/>
          </cell>
          <cell r="N1355" t="str">
            <v/>
          </cell>
          <cell r="O1355" t="str">
            <v/>
          </cell>
        </row>
        <row r="1356">
          <cell r="D1356" t="str">
            <v/>
          </cell>
          <cell r="E1356" t="str">
            <v/>
          </cell>
          <cell r="F1356" t="str">
            <v/>
          </cell>
          <cell r="G1356" t="str">
            <v/>
          </cell>
          <cell r="H1356" t="str">
            <v/>
          </cell>
          <cell r="I1356" t="str">
            <v/>
          </cell>
          <cell r="J1356" t="str">
            <v/>
          </cell>
          <cell r="K1356" t="str">
            <v/>
          </cell>
          <cell r="L1356" t="str">
            <v/>
          </cell>
          <cell r="M1356" t="str">
            <v/>
          </cell>
          <cell r="N1356" t="str">
            <v/>
          </cell>
          <cell r="O1356" t="str">
            <v/>
          </cell>
        </row>
        <row r="1357">
          <cell r="D1357" t="str">
            <v/>
          </cell>
          <cell r="E1357" t="str">
            <v/>
          </cell>
          <cell r="F1357" t="str">
            <v/>
          </cell>
          <cell r="G1357" t="str">
            <v/>
          </cell>
          <cell r="H1357" t="str">
            <v/>
          </cell>
          <cell r="I1357" t="str">
            <v/>
          </cell>
          <cell r="J1357" t="str">
            <v/>
          </cell>
          <cell r="K1357" t="str">
            <v/>
          </cell>
          <cell r="L1357" t="str">
            <v/>
          </cell>
          <cell r="M1357" t="str">
            <v/>
          </cell>
          <cell r="N1357" t="str">
            <v/>
          </cell>
          <cell r="O1357" t="str">
            <v/>
          </cell>
        </row>
        <row r="1358">
          <cell r="D1358" t="str">
            <v/>
          </cell>
          <cell r="E1358" t="str">
            <v/>
          </cell>
          <cell r="F1358" t="str">
            <v/>
          </cell>
          <cell r="G1358" t="str">
            <v/>
          </cell>
          <cell r="H1358" t="str">
            <v/>
          </cell>
          <cell r="I1358" t="str">
            <v/>
          </cell>
          <cell r="J1358" t="str">
            <v/>
          </cell>
          <cell r="K1358" t="str">
            <v/>
          </cell>
          <cell r="L1358" t="str">
            <v/>
          </cell>
          <cell r="M1358" t="str">
            <v/>
          </cell>
          <cell r="N1358" t="str">
            <v/>
          </cell>
          <cell r="O1358" t="str">
            <v/>
          </cell>
        </row>
        <row r="1359">
          <cell r="D1359" t="str">
            <v/>
          </cell>
          <cell r="E1359" t="str">
            <v/>
          </cell>
          <cell r="F1359" t="str">
            <v/>
          </cell>
          <cell r="G1359" t="str">
            <v/>
          </cell>
          <cell r="H1359" t="str">
            <v/>
          </cell>
          <cell r="I1359" t="str">
            <v/>
          </cell>
          <cell r="J1359" t="str">
            <v/>
          </cell>
          <cell r="K1359" t="str">
            <v/>
          </cell>
          <cell r="L1359" t="str">
            <v/>
          </cell>
          <cell r="M1359" t="str">
            <v/>
          </cell>
          <cell r="N1359" t="str">
            <v/>
          </cell>
          <cell r="O1359" t="str">
            <v/>
          </cell>
        </row>
        <row r="1360">
          <cell r="D1360" t="str">
            <v/>
          </cell>
          <cell r="E1360" t="str">
            <v/>
          </cell>
          <cell r="F1360" t="str">
            <v/>
          </cell>
          <cell r="G1360" t="str">
            <v/>
          </cell>
          <cell r="H1360" t="str">
            <v/>
          </cell>
          <cell r="I1360" t="str">
            <v/>
          </cell>
          <cell r="J1360" t="str">
            <v/>
          </cell>
          <cell r="K1360" t="str">
            <v/>
          </cell>
          <cell r="L1360" t="str">
            <v/>
          </cell>
          <cell r="M1360" t="str">
            <v/>
          </cell>
          <cell r="N1360" t="str">
            <v/>
          </cell>
          <cell r="O1360" t="str">
            <v/>
          </cell>
        </row>
        <row r="1361">
          <cell r="D1361" t="str">
            <v/>
          </cell>
          <cell r="E1361" t="str">
            <v/>
          </cell>
          <cell r="F1361" t="str">
            <v/>
          </cell>
          <cell r="G1361" t="str">
            <v/>
          </cell>
          <cell r="H1361" t="str">
            <v/>
          </cell>
          <cell r="I1361" t="str">
            <v/>
          </cell>
          <cell r="J1361" t="str">
            <v/>
          </cell>
          <cell r="K1361" t="str">
            <v/>
          </cell>
          <cell r="L1361" t="str">
            <v/>
          </cell>
          <cell r="M1361" t="str">
            <v/>
          </cell>
          <cell r="N1361" t="str">
            <v/>
          </cell>
          <cell r="O1361" t="str">
            <v/>
          </cell>
        </row>
        <row r="1362">
          <cell r="D1362" t="str">
            <v/>
          </cell>
          <cell r="E1362" t="str">
            <v/>
          </cell>
          <cell r="F1362" t="str">
            <v/>
          </cell>
          <cell r="G1362" t="str">
            <v/>
          </cell>
          <cell r="H1362" t="str">
            <v/>
          </cell>
          <cell r="I1362" t="str">
            <v/>
          </cell>
          <cell r="J1362" t="str">
            <v/>
          </cell>
          <cell r="K1362" t="str">
            <v/>
          </cell>
          <cell r="L1362" t="str">
            <v/>
          </cell>
          <cell r="M1362" t="str">
            <v/>
          </cell>
          <cell r="N1362" t="str">
            <v/>
          </cell>
          <cell r="O1362" t="str">
            <v/>
          </cell>
        </row>
        <row r="1363">
          <cell r="D1363" t="str">
            <v/>
          </cell>
          <cell r="E1363" t="str">
            <v/>
          </cell>
          <cell r="F1363" t="str">
            <v/>
          </cell>
          <cell r="G1363" t="str">
            <v/>
          </cell>
          <cell r="H1363" t="str">
            <v/>
          </cell>
          <cell r="I1363" t="str">
            <v/>
          </cell>
          <cell r="J1363" t="str">
            <v/>
          </cell>
          <cell r="K1363" t="str">
            <v/>
          </cell>
          <cell r="L1363" t="str">
            <v/>
          </cell>
          <cell r="M1363" t="str">
            <v/>
          </cell>
          <cell r="N1363" t="str">
            <v/>
          </cell>
          <cell r="O1363" t="str">
            <v/>
          </cell>
        </row>
        <row r="1364">
          <cell r="D1364" t="str">
            <v/>
          </cell>
          <cell r="E1364" t="str">
            <v/>
          </cell>
          <cell r="F1364" t="str">
            <v/>
          </cell>
          <cell r="G1364" t="str">
            <v/>
          </cell>
          <cell r="H1364" t="str">
            <v/>
          </cell>
          <cell r="I1364" t="str">
            <v/>
          </cell>
          <cell r="J1364" t="str">
            <v/>
          </cell>
          <cell r="K1364" t="str">
            <v/>
          </cell>
          <cell r="L1364" t="str">
            <v/>
          </cell>
          <cell r="M1364" t="str">
            <v/>
          </cell>
          <cell r="N1364" t="str">
            <v/>
          </cell>
          <cell r="O1364" t="str">
            <v/>
          </cell>
        </row>
        <row r="1365">
          <cell r="D1365" t="str">
            <v/>
          </cell>
          <cell r="E1365" t="str">
            <v/>
          </cell>
          <cell r="F1365" t="str">
            <v/>
          </cell>
          <cell r="G1365" t="str">
            <v/>
          </cell>
          <cell r="H1365" t="str">
            <v/>
          </cell>
          <cell r="I1365" t="str">
            <v/>
          </cell>
          <cell r="J1365" t="str">
            <v/>
          </cell>
          <cell r="K1365" t="str">
            <v/>
          </cell>
          <cell r="L1365" t="str">
            <v/>
          </cell>
          <cell r="M1365" t="str">
            <v/>
          </cell>
          <cell r="N1365" t="str">
            <v/>
          </cell>
          <cell r="O1365" t="str">
            <v/>
          </cell>
        </row>
        <row r="1366">
          <cell r="D1366" t="str">
            <v/>
          </cell>
          <cell r="E1366" t="str">
            <v/>
          </cell>
          <cell r="F1366" t="str">
            <v/>
          </cell>
          <cell r="G1366" t="str">
            <v/>
          </cell>
          <cell r="H1366" t="str">
            <v/>
          </cell>
          <cell r="I1366" t="str">
            <v/>
          </cell>
          <cell r="J1366" t="str">
            <v/>
          </cell>
          <cell r="K1366" t="str">
            <v/>
          </cell>
          <cell r="L1366" t="str">
            <v/>
          </cell>
          <cell r="M1366" t="str">
            <v/>
          </cell>
          <cell r="N1366" t="str">
            <v/>
          </cell>
          <cell r="O1366" t="str">
            <v/>
          </cell>
        </row>
        <row r="1367">
          <cell r="D1367" t="str">
            <v/>
          </cell>
          <cell r="E1367" t="str">
            <v/>
          </cell>
          <cell r="F1367" t="str">
            <v/>
          </cell>
          <cell r="G1367" t="str">
            <v/>
          </cell>
          <cell r="H1367" t="str">
            <v/>
          </cell>
          <cell r="I1367" t="str">
            <v/>
          </cell>
          <cell r="J1367" t="str">
            <v/>
          </cell>
          <cell r="K1367" t="str">
            <v/>
          </cell>
          <cell r="L1367" t="str">
            <v/>
          </cell>
          <cell r="M1367" t="str">
            <v/>
          </cell>
          <cell r="N1367" t="str">
            <v/>
          </cell>
          <cell r="O1367" t="str">
            <v/>
          </cell>
        </row>
        <row r="1368">
          <cell r="D1368" t="str">
            <v/>
          </cell>
          <cell r="E1368" t="str">
            <v/>
          </cell>
          <cell r="F1368" t="str">
            <v/>
          </cell>
          <cell r="G1368" t="str">
            <v/>
          </cell>
          <cell r="H1368" t="str">
            <v/>
          </cell>
          <cell r="I1368" t="str">
            <v/>
          </cell>
          <cell r="J1368" t="str">
            <v/>
          </cell>
          <cell r="K1368" t="str">
            <v/>
          </cell>
          <cell r="L1368" t="str">
            <v/>
          </cell>
          <cell r="M1368" t="str">
            <v/>
          </cell>
          <cell r="N1368" t="str">
            <v/>
          </cell>
          <cell r="O1368" t="str">
            <v/>
          </cell>
        </row>
        <row r="1369">
          <cell r="D1369" t="str">
            <v/>
          </cell>
          <cell r="E1369" t="str">
            <v/>
          </cell>
          <cell r="F1369" t="str">
            <v/>
          </cell>
          <cell r="G1369" t="str">
            <v/>
          </cell>
          <cell r="H1369" t="str">
            <v/>
          </cell>
          <cell r="I1369" t="str">
            <v/>
          </cell>
          <cell r="J1369" t="str">
            <v/>
          </cell>
          <cell r="K1369" t="str">
            <v/>
          </cell>
          <cell r="L1369" t="str">
            <v/>
          </cell>
          <cell r="M1369" t="str">
            <v/>
          </cell>
          <cell r="N1369" t="str">
            <v/>
          </cell>
          <cell r="O1369" t="str">
            <v/>
          </cell>
        </row>
        <row r="1370">
          <cell r="D1370" t="str">
            <v/>
          </cell>
          <cell r="E1370" t="str">
            <v/>
          </cell>
          <cell r="F1370" t="str">
            <v/>
          </cell>
          <cell r="G1370" t="str">
            <v/>
          </cell>
          <cell r="H1370" t="str">
            <v/>
          </cell>
          <cell r="I1370" t="str">
            <v/>
          </cell>
          <cell r="J1370" t="str">
            <v/>
          </cell>
          <cell r="K1370" t="str">
            <v/>
          </cell>
          <cell r="L1370" t="str">
            <v/>
          </cell>
          <cell r="M1370" t="str">
            <v/>
          </cell>
          <cell r="N1370" t="str">
            <v/>
          </cell>
          <cell r="O1370" t="str">
            <v/>
          </cell>
        </row>
        <row r="1371">
          <cell r="D1371" t="str">
            <v/>
          </cell>
          <cell r="E1371" t="str">
            <v/>
          </cell>
          <cell r="F1371" t="str">
            <v/>
          </cell>
          <cell r="G1371" t="str">
            <v/>
          </cell>
          <cell r="H1371" t="str">
            <v/>
          </cell>
          <cell r="I1371" t="str">
            <v/>
          </cell>
          <cell r="J1371" t="str">
            <v/>
          </cell>
          <cell r="K1371" t="str">
            <v/>
          </cell>
          <cell r="L1371" t="str">
            <v/>
          </cell>
          <cell r="M1371" t="str">
            <v/>
          </cell>
          <cell r="N1371" t="str">
            <v/>
          </cell>
          <cell r="O1371" t="str">
            <v/>
          </cell>
        </row>
        <row r="1372">
          <cell r="D1372" t="str">
            <v/>
          </cell>
          <cell r="E1372" t="str">
            <v/>
          </cell>
          <cell r="F1372" t="str">
            <v/>
          </cell>
          <cell r="G1372" t="str">
            <v/>
          </cell>
          <cell r="H1372" t="str">
            <v/>
          </cell>
          <cell r="I1372" t="str">
            <v/>
          </cell>
          <cell r="J1372" t="str">
            <v/>
          </cell>
          <cell r="K1372" t="str">
            <v/>
          </cell>
          <cell r="L1372" t="str">
            <v/>
          </cell>
          <cell r="M1372" t="str">
            <v/>
          </cell>
          <cell r="N1372" t="str">
            <v/>
          </cell>
          <cell r="O1372" t="str">
            <v/>
          </cell>
        </row>
        <row r="1373">
          <cell r="D1373" t="str">
            <v/>
          </cell>
          <cell r="E1373" t="str">
            <v/>
          </cell>
          <cell r="F1373" t="str">
            <v/>
          </cell>
          <cell r="G1373" t="str">
            <v/>
          </cell>
          <cell r="H1373" t="str">
            <v/>
          </cell>
          <cell r="I1373" t="str">
            <v/>
          </cell>
          <cell r="J1373" t="str">
            <v/>
          </cell>
          <cell r="K1373" t="str">
            <v/>
          </cell>
          <cell r="L1373" t="str">
            <v/>
          </cell>
          <cell r="M1373" t="str">
            <v/>
          </cell>
          <cell r="N1373" t="str">
            <v/>
          </cell>
          <cell r="O1373" t="str">
            <v/>
          </cell>
        </row>
        <row r="1374">
          <cell r="D1374" t="str">
            <v/>
          </cell>
          <cell r="E1374" t="str">
            <v/>
          </cell>
          <cell r="F1374" t="str">
            <v/>
          </cell>
          <cell r="G1374" t="str">
            <v/>
          </cell>
          <cell r="H1374" t="str">
            <v/>
          </cell>
          <cell r="I1374" t="str">
            <v/>
          </cell>
          <cell r="J1374" t="str">
            <v/>
          </cell>
          <cell r="K1374" t="str">
            <v/>
          </cell>
          <cell r="L1374" t="str">
            <v/>
          </cell>
          <cell r="M1374" t="str">
            <v/>
          </cell>
          <cell r="N1374" t="str">
            <v/>
          </cell>
          <cell r="O1374" t="str">
            <v/>
          </cell>
        </row>
        <row r="1375">
          <cell r="D1375" t="str">
            <v/>
          </cell>
          <cell r="E1375" t="str">
            <v/>
          </cell>
          <cell r="F1375" t="str">
            <v/>
          </cell>
          <cell r="G1375" t="str">
            <v/>
          </cell>
          <cell r="H1375" t="str">
            <v/>
          </cell>
          <cell r="I1375" t="str">
            <v/>
          </cell>
          <cell r="J1375" t="str">
            <v/>
          </cell>
          <cell r="K1375" t="str">
            <v/>
          </cell>
          <cell r="L1375" t="str">
            <v/>
          </cell>
          <cell r="M1375" t="str">
            <v/>
          </cell>
          <cell r="N1375" t="str">
            <v/>
          </cell>
          <cell r="O1375" t="str">
            <v/>
          </cell>
        </row>
        <row r="1376">
          <cell r="D1376" t="str">
            <v/>
          </cell>
          <cell r="E1376" t="str">
            <v/>
          </cell>
          <cell r="F1376" t="str">
            <v/>
          </cell>
          <cell r="G1376" t="str">
            <v/>
          </cell>
          <cell r="H1376" t="str">
            <v/>
          </cell>
          <cell r="I1376" t="str">
            <v/>
          </cell>
          <cell r="J1376" t="str">
            <v/>
          </cell>
          <cell r="K1376" t="str">
            <v/>
          </cell>
          <cell r="L1376" t="str">
            <v/>
          </cell>
          <cell r="M1376" t="str">
            <v/>
          </cell>
          <cell r="N1376" t="str">
            <v/>
          </cell>
          <cell r="O1376" t="str">
            <v/>
          </cell>
        </row>
        <row r="1377">
          <cell r="D1377" t="str">
            <v/>
          </cell>
          <cell r="E1377" t="str">
            <v/>
          </cell>
          <cell r="F1377" t="str">
            <v/>
          </cell>
          <cell r="G1377" t="str">
            <v/>
          </cell>
          <cell r="H1377" t="str">
            <v/>
          </cell>
          <cell r="I1377" t="str">
            <v/>
          </cell>
          <cell r="J1377" t="str">
            <v/>
          </cell>
          <cell r="K1377" t="str">
            <v/>
          </cell>
          <cell r="L1377" t="str">
            <v/>
          </cell>
          <cell r="M1377" t="str">
            <v/>
          </cell>
          <cell r="N1377" t="str">
            <v/>
          </cell>
          <cell r="O1377" t="str">
            <v/>
          </cell>
        </row>
        <row r="1378">
          <cell r="D1378" t="str">
            <v/>
          </cell>
          <cell r="E1378" t="str">
            <v/>
          </cell>
          <cell r="F1378" t="str">
            <v/>
          </cell>
          <cell r="G1378" t="str">
            <v/>
          </cell>
          <cell r="H1378" t="str">
            <v/>
          </cell>
          <cell r="I1378" t="str">
            <v/>
          </cell>
          <cell r="J1378" t="str">
            <v/>
          </cell>
          <cell r="K1378" t="str">
            <v/>
          </cell>
          <cell r="L1378" t="str">
            <v/>
          </cell>
          <cell r="M1378" t="str">
            <v/>
          </cell>
          <cell r="N1378" t="str">
            <v/>
          </cell>
          <cell r="O1378" t="str">
            <v/>
          </cell>
        </row>
        <row r="1379">
          <cell r="D1379" t="str">
            <v/>
          </cell>
          <cell r="E1379" t="str">
            <v/>
          </cell>
          <cell r="F1379" t="str">
            <v/>
          </cell>
          <cell r="G1379" t="str">
            <v/>
          </cell>
          <cell r="H1379" t="str">
            <v/>
          </cell>
          <cell r="I1379" t="str">
            <v/>
          </cell>
          <cell r="J1379" t="str">
            <v/>
          </cell>
          <cell r="K1379" t="str">
            <v/>
          </cell>
          <cell r="L1379" t="str">
            <v/>
          </cell>
          <cell r="M1379" t="str">
            <v/>
          </cell>
          <cell r="N1379" t="str">
            <v/>
          </cell>
          <cell r="O1379" t="str">
            <v/>
          </cell>
        </row>
        <row r="1380">
          <cell r="D1380" t="str">
            <v/>
          </cell>
          <cell r="E1380" t="str">
            <v/>
          </cell>
          <cell r="F1380" t="str">
            <v/>
          </cell>
          <cell r="G1380" t="str">
            <v/>
          </cell>
          <cell r="H1380" t="str">
            <v/>
          </cell>
          <cell r="I1380" t="str">
            <v/>
          </cell>
          <cell r="J1380" t="str">
            <v/>
          </cell>
          <cell r="K1380" t="str">
            <v/>
          </cell>
          <cell r="L1380" t="str">
            <v/>
          </cell>
          <cell r="M1380" t="str">
            <v/>
          </cell>
          <cell r="N1380" t="str">
            <v/>
          </cell>
          <cell r="O1380" t="str">
            <v/>
          </cell>
        </row>
        <row r="1381">
          <cell r="D1381" t="str">
            <v/>
          </cell>
          <cell r="E1381" t="str">
            <v/>
          </cell>
          <cell r="F1381" t="str">
            <v/>
          </cell>
          <cell r="G1381" t="str">
            <v/>
          </cell>
          <cell r="H1381" t="str">
            <v/>
          </cell>
          <cell r="I1381" t="str">
            <v/>
          </cell>
          <cell r="J1381" t="str">
            <v/>
          </cell>
          <cell r="K1381" t="str">
            <v/>
          </cell>
          <cell r="L1381" t="str">
            <v/>
          </cell>
          <cell r="M1381" t="str">
            <v/>
          </cell>
          <cell r="N1381" t="str">
            <v/>
          </cell>
          <cell r="O1381" t="str">
            <v/>
          </cell>
        </row>
        <row r="1382">
          <cell r="D1382" t="str">
            <v/>
          </cell>
          <cell r="E1382" t="str">
            <v/>
          </cell>
          <cell r="F1382" t="str">
            <v/>
          </cell>
          <cell r="G1382" t="str">
            <v/>
          </cell>
          <cell r="H1382" t="str">
            <v/>
          </cell>
          <cell r="I1382" t="str">
            <v/>
          </cell>
          <cell r="J1382" t="str">
            <v/>
          </cell>
          <cell r="K1382" t="str">
            <v/>
          </cell>
          <cell r="L1382" t="str">
            <v/>
          </cell>
          <cell r="M1382" t="str">
            <v/>
          </cell>
          <cell r="N1382" t="str">
            <v/>
          </cell>
          <cell r="O1382" t="str">
            <v/>
          </cell>
        </row>
        <row r="1383">
          <cell r="D1383" t="str">
            <v/>
          </cell>
          <cell r="E1383" t="str">
            <v/>
          </cell>
          <cell r="F1383" t="str">
            <v/>
          </cell>
          <cell r="G1383" t="str">
            <v/>
          </cell>
          <cell r="H1383" t="str">
            <v/>
          </cell>
          <cell r="I1383" t="str">
            <v/>
          </cell>
          <cell r="J1383" t="str">
            <v/>
          </cell>
          <cell r="K1383" t="str">
            <v/>
          </cell>
          <cell r="L1383" t="str">
            <v/>
          </cell>
          <cell r="M1383" t="str">
            <v/>
          </cell>
          <cell r="N1383" t="str">
            <v/>
          </cell>
          <cell r="O1383" t="str">
            <v/>
          </cell>
        </row>
        <row r="1384">
          <cell r="D1384" t="str">
            <v/>
          </cell>
          <cell r="E1384" t="str">
            <v/>
          </cell>
          <cell r="F1384" t="str">
            <v/>
          </cell>
          <cell r="G1384" t="str">
            <v/>
          </cell>
          <cell r="H1384" t="str">
            <v/>
          </cell>
          <cell r="I1384" t="str">
            <v/>
          </cell>
          <cell r="J1384" t="str">
            <v/>
          </cell>
          <cell r="K1384" t="str">
            <v/>
          </cell>
          <cell r="L1384" t="str">
            <v/>
          </cell>
          <cell r="M1384" t="str">
            <v/>
          </cell>
          <cell r="N1384" t="str">
            <v/>
          </cell>
          <cell r="O1384" t="str">
            <v/>
          </cell>
        </row>
        <row r="1385">
          <cell r="D1385" t="str">
            <v/>
          </cell>
          <cell r="E1385" t="str">
            <v/>
          </cell>
          <cell r="F1385" t="str">
            <v/>
          </cell>
          <cell r="G1385" t="str">
            <v/>
          </cell>
          <cell r="H1385" t="str">
            <v/>
          </cell>
          <cell r="I1385" t="str">
            <v/>
          </cell>
          <cell r="J1385" t="str">
            <v/>
          </cell>
          <cell r="K1385" t="str">
            <v/>
          </cell>
          <cell r="L1385" t="str">
            <v/>
          </cell>
          <cell r="M1385" t="str">
            <v/>
          </cell>
          <cell r="N1385" t="str">
            <v/>
          </cell>
          <cell r="O1385" t="str">
            <v/>
          </cell>
        </row>
        <row r="1386">
          <cell r="D1386" t="str">
            <v/>
          </cell>
          <cell r="E1386" t="str">
            <v/>
          </cell>
          <cell r="F1386" t="str">
            <v/>
          </cell>
          <cell r="G1386" t="str">
            <v/>
          </cell>
          <cell r="H1386" t="str">
            <v/>
          </cell>
          <cell r="I1386" t="str">
            <v/>
          </cell>
          <cell r="J1386" t="str">
            <v/>
          </cell>
          <cell r="K1386" t="str">
            <v/>
          </cell>
          <cell r="L1386" t="str">
            <v/>
          </cell>
          <cell r="M1386" t="str">
            <v/>
          </cell>
          <cell r="N1386" t="str">
            <v/>
          </cell>
          <cell r="O1386" t="str">
            <v/>
          </cell>
        </row>
        <row r="1387">
          <cell r="D1387" t="str">
            <v/>
          </cell>
          <cell r="E1387" t="str">
            <v/>
          </cell>
          <cell r="F1387" t="str">
            <v/>
          </cell>
          <cell r="G1387" t="str">
            <v/>
          </cell>
          <cell r="H1387" t="str">
            <v/>
          </cell>
          <cell r="I1387" t="str">
            <v/>
          </cell>
          <cell r="J1387" t="str">
            <v/>
          </cell>
          <cell r="K1387" t="str">
            <v/>
          </cell>
          <cell r="L1387" t="str">
            <v/>
          </cell>
          <cell r="M1387" t="str">
            <v/>
          </cell>
          <cell r="N1387" t="str">
            <v/>
          </cell>
          <cell r="O1387" t="str">
            <v/>
          </cell>
        </row>
        <row r="1388">
          <cell r="D1388" t="str">
            <v/>
          </cell>
          <cell r="E1388" t="str">
            <v/>
          </cell>
          <cell r="F1388" t="str">
            <v/>
          </cell>
          <cell r="G1388" t="str">
            <v/>
          </cell>
          <cell r="H1388" t="str">
            <v/>
          </cell>
          <cell r="I1388" t="str">
            <v/>
          </cell>
          <cell r="J1388" t="str">
            <v/>
          </cell>
          <cell r="K1388" t="str">
            <v/>
          </cell>
          <cell r="L1388" t="str">
            <v/>
          </cell>
          <cell r="M1388" t="str">
            <v/>
          </cell>
          <cell r="N1388" t="str">
            <v/>
          </cell>
          <cell r="O1388" t="str">
            <v/>
          </cell>
        </row>
        <row r="1389">
          <cell r="D1389" t="str">
            <v/>
          </cell>
          <cell r="E1389" t="str">
            <v/>
          </cell>
          <cell r="F1389" t="str">
            <v/>
          </cell>
          <cell r="G1389" t="str">
            <v/>
          </cell>
          <cell r="H1389" t="str">
            <v/>
          </cell>
          <cell r="I1389" t="str">
            <v/>
          </cell>
          <cell r="J1389" t="str">
            <v/>
          </cell>
          <cell r="K1389" t="str">
            <v/>
          </cell>
          <cell r="L1389" t="str">
            <v/>
          </cell>
          <cell r="M1389" t="str">
            <v/>
          </cell>
          <cell r="N1389" t="str">
            <v/>
          </cell>
          <cell r="O1389" t="str">
            <v/>
          </cell>
        </row>
        <row r="1390">
          <cell r="D1390" t="str">
            <v/>
          </cell>
          <cell r="E1390" t="str">
            <v/>
          </cell>
          <cell r="F1390" t="str">
            <v/>
          </cell>
          <cell r="G1390" t="str">
            <v/>
          </cell>
          <cell r="H1390" t="str">
            <v/>
          </cell>
          <cell r="I1390" t="str">
            <v/>
          </cell>
          <cell r="J1390" t="str">
            <v/>
          </cell>
          <cell r="K1390" t="str">
            <v/>
          </cell>
          <cell r="L1390" t="str">
            <v/>
          </cell>
          <cell r="M1390" t="str">
            <v/>
          </cell>
          <cell r="N1390" t="str">
            <v/>
          </cell>
          <cell r="O1390" t="str">
            <v/>
          </cell>
        </row>
        <row r="1391">
          <cell r="D1391" t="str">
            <v/>
          </cell>
          <cell r="E1391" t="str">
            <v/>
          </cell>
          <cell r="F1391" t="str">
            <v/>
          </cell>
          <cell r="G1391" t="str">
            <v/>
          </cell>
          <cell r="H1391" t="str">
            <v/>
          </cell>
          <cell r="I1391" t="str">
            <v/>
          </cell>
          <cell r="J1391" t="str">
            <v/>
          </cell>
          <cell r="K1391" t="str">
            <v/>
          </cell>
          <cell r="L1391" t="str">
            <v/>
          </cell>
          <cell r="M1391" t="str">
            <v/>
          </cell>
          <cell r="N1391" t="str">
            <v/>
          </cell>
          <cell r="O1391" t="str">
            <v/>
          </cell>
        </row>
        <row r="1392">
          <cell r="D1392" t="str">
            <v/>
          </cell>
          <cell r="E1392" t="str">
            <v/>
          </cell>
          <cell r="F1392" t="str">
            <v/>
          </cell>
          <cell r="G1392" t="str">
            <v/>
          </cell>
          <cell r="H1392" t="str">
            <v/>
          </cell>
          <cell r="I1392" t="str">
            <v/>
          </cell>
          <cell r="J1392" t="str">
            <v/>
          </cell>
          <cell r="K1392" t="str">
            <v/>
          </cell>
          <cell r="L1392" t="str">
            <v/>
          </cell>
          <cell r="M1392" t="str">
            <v/>
          </cell>
          <cell r="N1392" t="str">
            <v/>
          </cell>
          <cell r="O1392" t="str">
            <v/>
          </cell>
        </row>
        <row r="1393">
          <cell r="D1393" t="str">
            <v/>
          </cell>
          <cell r="E1393" t="str">
            <v/>
          </cell>
          <cell r="F1393" t="str">
            <v/>
          </cell>
          <cell r="G1393" t="str">
            <v/>
          </cell>
          <cell r="H1393" t="str">
            <v/>
          </cell>
          <cell r="I1393" t="str">
            <v/>
          </cell>
          <cell r="J1393" t="str">
            <v/>
          </cell>
          <cell r="K1393" t="str">
            <v/>
          </cell>
          <cell r="L1393" t="str">
            <v/>
          </cell>
          <cell r="M1393" t="str">
            <v/>
          </cell>
          <cell r="N1393" t="str">
            <v/>
          </cell>
          <cell r="O1393" t="str">
            <v/>
          </cell>
        </row>
        <row r="1394">
          <cell r="D1394" t="str">
            <v/>
          </cell>
          <cell r="E1394" t="str">
            <v/>
          </cell>
          <cell r="F1394" t="str">
            <v/>
          </cell>
          <cell r="G1394" t="str">
            <v/>
          </cell>
          <cell r="H1394" t="str">
            <v/>
          </cell>
          <cell r="I1394" t="str">
            <v/>
          </cell>
          <cell r="J1394" t="str">
            <v/>
          </cell>
          <cell r="K1394" t="str">
            <v/>
          </cell>
          <cell r="L1394" t="str">
            <v/>
          </cell>
          <cell r="M1394" t="str">
            <v/>
          </cell>
          <cell r="N1394" t="str">
            <v/>
          </cell>
          <cell r="O1394" t="str">
            <v/>
          </cell>
        </row>
        <row r="1395">
          <cell r="D1395" t="str">
            <v/>
          </cell>
          <cell r="E1395" t="str">
            <v/>
          </cell>
          <cell r="F1395" t="str">
            <v/>
          </cell>
          <cell r="G1395" t="str">
            <v/>
          </cell>
          <cell r="H1395" t="str">
            <v/>
          </cell>
          <cell r="I1395" t="str">
            <v/>
          </cell>
          <cell r="J1395" t="str">
            <v/>
          </cell>
          <cell r="K1395" t="str">
            <v/>
          </cell>
          <cell r="L1395" t="str">
            <v/>
          </cell>
          <cell r="M1395" t="str">
            <v/>
          </cell>
          <cell r="N1395" t="str">
            <v/>
          </cell>
          <cell r="O1395" t="str">
            <v/>
          </cell>
        </row>
        <row r="1396">
          <cell r="D1396" t="str">
            <v/>
          </cell>
          <cell r="E1396" t="str">
            <v/>
          </cell>
          <cell r="F1396" t="str">
            <v/>
          </cell>
          <cell r="G1396" t="str">
            <v/>
          </cell>
          <cell r="H1396" t="str">
            <v/>
          </cell>
          <cell r="I1396" t="str">
            <v/>
          </cell>
          <cell r="J1396" t="str">
            <v/>
          </cell>
          <cell r="K1396" t="str">
            <v/>
          </cell>
          <cell r="L1396" t="str">
            <v/>
          </cell>
          <cell r="M1396" t="str">
            <v/>
          </cell>
          <cell r="N1396" t="str">
            <v/>
          </cell>
          <cell r="O1396" t="str">
            <v/>
          </cell>
        </row>
        <row r="1397">
          <cell r="D1397" t="str">
            <v/>
          </cell>
          <cell r="E1397" t="str">
            <v/>
          </cell>
          <cell r="F1397" t="str">
            <v/>
          </cell>
          <cell r="G1397" t="str">
            <v/>
          </cell>
          <cell r="H1397" t="str">
            <v/>
          </cell>
          <cell r="I1397" t="str">
            <v/>
          </cell>
          <cell r="J1397" t="str">
            <v/>
          </cell>
          <cell r="K1397" t="str">
            <v/>
          </cell>
          <cell r="L1397" t="str">
            <v/>
          </cell>
          <cell r="M1397" t="str">
            <v/>
          </cell>
          <cell r="N1397" t="str">
            <v/>
          </cell>
          <cell r="O1397" t="str">
            <v/>
          </cell>
        </row>
        <row r="1398">
          <cell r="D1398" t="str">
            <v/>
          </cell>
          <cell r="E1398" t="str">
            <v/>
          </cell>
          <cell r="F1398" t="str">
            <v/>
          </cell>
          <cell r="G1398" t="str">
            <v/>
          </cell>
          <cell r="H1398" t="str">
            <v/>
          </cell>
          <cell r="I1398" t="str">
            <v/>
          </cell>
          <cell r="J1398" t="str">
            <v/>
          </cell>
          <cell r="K1398" t="str">
            <v/>
          </cell>
          <cell r="L1398" t="str">
            <v/>
          </cell>
          <cell r="M1398" t="str">
            <v/>
          </cell>
          <cell r="N1398" t="str">
            <v/>
          </cell>
          <cell r="O1398" t="str">
            <v/>
          </cell>
        </row>
        <row r="1399">
          <cell r="D1399" t="str">
            <v/>
          </cell>
          <cell r="E1399" t="str">
            <v/>
          </cell>
          <cell r="F1399" t="str">
            <v/>
          </cell>
          <cell r="G1399" t="str">
            <v/>
          </cell>
          <cell r="H1399" t="str">
            <v/>
          </cell>
          <cell r="I1399" t="str">
            <v/>
          </cell>
          <cell r="J1399" t="str">
            <v/>
          </cell>
          <cell r="K1399" t="str">
            <v/>
          </cell>
          <cell r="L1399" t="str">
            <v/>
          </cell>
          <cell r="M1399" t="str">
            <v/>
          </cell>
          <cell r="N1399" t="str">
            <v/>
          </cell>
          <cell r="O1399" t="str">
            <v/>
          </cell>
        </row>
        <row r="1400">
          <cell r="D1400" t="str">
            <v/>
          </cell>
          <cell r="E1400" t="str">
            <v/>
          </cell>
          <cell r="F1400" t="str">
            <v/>
          </cell>
          <cell r="G1400" t="str">
            <v/>
          </cell>
          <cell r="H1400" t="str">
            <v/>
          </cell>
          <cell r="I1400" t="str">
            <v/>
          </cell>
          <cell r="J1400" t="str">
            <v/>
          </cell>
          <cell r="K1400" t="str">
            <v/>
          </cell>
          <cell r="L1400" t="str">
            <v/>
          </cell>
          <cell r="M1400" t="str">
            <v/>
          </cell>
          <cell r="N1400" t="str">
            <v/>
          </cell>
          <cell r="O1400" t="str">
            <v/>
          </cell>
        </row>
        <row r="1401">
          <cell r="D1401" t="str">
            <v/>
          </cell>
          <cell r="E1401" t="str">
            <v/>
          </cell>
          <cell r="F1401" t="str">
            <v/>
          </cell>
          <cell r="G1401" t="str">
            <v/>
          </cell>
          <cell r="H1401" t="str">
            <v/>
          </cell>
          <cell r="I1401" t="str">
            <v/>
          </cell>
          <cell r="J1401" t="str">
            <v/>
          </cell>
          <cell r="K1401" t="str">
            <v/>
          </cell>
          <cell r="L1401" t="str">
            <v/>
          </cell>
          <cell r="M1401" t="str">
            <v/>
          </cell>
          <cell r="N1401" t="str">
            <v/>
          </cell>
          <cell r="O1401" t="str">
            <v/>
          </cell>
        </row>
        <row r="1402">
          <cell r="D1402" t="str">
            <v/>
          </cell>
          <cell r="E1402" t="str">
            <v/>
          </cell>
          <cell r="F1402" t="str">
            <v/>
          </cell>
          <cell r="G1402" t="str">
            <v/>
          </cell>
          <cell r="H1402" t="str">
            <v/>
          </cell>
          <cell r="I1402" t="str">
            <v/>
          </cell>
          <cell r="J1402" t="str">
            <v/>
          </cell>
          <cell r="K1402" t="str">
            <v/>
          </cell>
          <cell r="L1402" t="str">
            <v/>
          </cell>
          <cell r="M1402" t="str">
            <v/>
          </cell>
          <cell r="N1402" t="str">
            <v/>
          </cell>
          <cell r="O1402" t="str">
            <v/>
          </cell>
        </row>
        <row r="1403">
          <cell r="D1403" t="str">
            <v/>
          </cell>
          <cell r="E1403" t="str">
            <v/>
          </cell>
          <cell r="F1403" t="str">
            <v/>
          </cell>
          <cell r="G1403" t="str">
            <v/>
          </cell>
          <cell r="H1403" t="str">
            <v/>
          </cell>
          <cell r="I1403" t="str">
            <v/>
          </cell>
          <cell r="J1403" t="str">
            <v/>
          </cell>
          <cell r="K1403" t="str">
            <v/>
          </cell>
          <cell r="L1403" t="str">
            <v/>
          </cell>
          <cell r="M1403" t="str">
            <v/>
          </cell>
          <cell r="N1403" t="str">
            <v/>
          </cell>
          <cell r="O1403" t="str">
            <v/>
          </cell>
        </row>
        <row r="1404">
          <cell r="D1404" t="str">
            <v/>
          </cell>
          <cell r="E1404" t="str">
            <v/>
          </cell>
          <cell r="F1404" t="str">
            <v/>
          </cell>
          <cell r="G1404" t="str">
            <v/>
          </cell>
          <cell r="H1404" t="str">
            <v/>
          </cell>
          <cell r="I1404" t="str">
            <v/>
          </cell>
          <cell r="J1404" t="str">
            <v/>
          </cell>
          <cell r="K1404" t="str">
            <v/>
          </cell>
          <cell r="L1404" t="str">
            <v/>
          </cell>
          <cell r="M1404" t="str">
            <v/>
          </cell>
          <cell r="N1404" t="str">
            <v/>
          </cell>
          <cell r="O1404" t="str">
            <v/>
          </cell>
        </row>
        <row r="1405">
          <cell r="D1405" t="str">
            <v/>
          </cell>
          <cell r="E1405" t="str">
            <v/>
          </cell>
          <cell r="F1405" t="str">
            <v/>
          </cell>
          <cell r="G1405" t="str">
            <v/>
          </cell>
          <cell r="H1405" t="str">
            <v/>
          </cell>
          <cell r="I1405" t="str">
            <v/>
          </cell>
          <cell r="J1405" t="str">
            <v/>
          </cell>
          <cell r="K1405" t="str">
            <v/>
          </cell>
          <cell r="L1405" t="str">
            <v/>
          </cell>
          <cell r="M1405" t="str">
            <v/>
          </cell>
          <cell r="N1405" t="str">
            <v/>
          </cell>
          <cell r="O1405" t="str">
            <v/>
          </cell>
        </row>
        <row r="1406">
          <cell r="D1406" t="str">
            <v/>
          </cell>
          <cell r="E1406" t="str">
            <v/>
          </cell>
          <cell r="F1406" t="str">
            <v/>
          </cell>
          <cell r="G1406" t="str">
            <v/>
          </cell>
          <cell r="H1406" t="str">
            <v/>
          </cell>
          <cell r="I1406" t="str">
            <v/>
          </cell>
          <cell r="J1406" t="str">
            <v/>
          </cell>
          <cell r="K1406" t="str">
            <v/>
          </cell>
          <cell r="L1406" t="str">
            <v/>
          </cell>
          <cell r="M1406" t="str">
            <v/>
          </cell>
          <cell r="N1406" t="str">
            <v/>
          </cell>
          <cell r="O1406" t="str">
            <v/>
          </cell>
        </row>
        <row r="1407">
          <cell r="D1407" t="str">
            <v/>
          </cell>
          <cell r="E1407" t="str">
            <v/>
          </cell>
          <cell r="F1407" t="str">
            <v/>
          </cell>
          <cell r="G1407" t="str">
            <v/>
          </cell>
          <cell r="H1407" t="str">
            <v/>
          </cell>
          <cell r="I1407" t="str">
            <v/>
          </cell>
          <cell r="J1407" t="str">
            <v/>
          </cell>
          <cell r="K1407" t="str">
            <v/>
          </cell>
          <cell r="L1407" t="str">
            <v/>
          </cell>
          <cell r="M1407" t="str">
            <v/>
          </cell>
          <cell r="N1407" t="str">
            <v/>
          </cell>
          <cell r="O1407" t="str">
            <v/>
          </cell>
        </row>
        <row r="1408">
          <cell r="D1408" t="str">
            <v/>
          </cell>
          <cell r="E1408" t="str">
            <v/>
          </cell>
          <cell r="F1408" t="str">
            <v/>
          </cell>
          <cell r="G1408" t="str">
            <v/>
          </cell>
          <cell r="H1408" t="str">
            <v/>
          </cell>
          <cell r="I1408" t="str">
            <v/>
          </cell>
          <cell r="J1408" t="str">
            <v/>
          </cell>
          <cell r="K1408" t="str">
            <v/>
          </cell>
          <cell r="L1408" t="str">
            <v/>
          </cell>
          <cell r="M1408" t="str">
            <v/>
          </cell>
          <cell r="N1408" t="str">
            <v/>
          </cell>
          <cell r="O1408" t="str">
            <v/>
          </cell>
        </row>
        <row r="1409">
          <cell r="D1409" t="str">
            <v/>
          </cell>
          <cell r="E1409" t="str">
            <v/>
          </cell>
          <cell r="F1409" t="str">
            <v/>
          </cell>
          <cell r="G1409" t="str">
            <v/>
          </cell>
          <cell r="H1409" t="str">
            <v/>
          </cell>
          <cell r="I1409" t="str">
            <v/>
          </cell>
          <cell r="J1409" t="str">
            <v/>
          </cell>
          <cell r="K1409" t="str">
            <v/>
          </cell>
          <cell r="L1409" t="str">
            <v/>
          </cell>
          <cell r="M1409" t="str">
            <v/>
          </cell>
          <cell r="N1409" t="str">
            <v/>
          </cell>
          <cell r="O1409" t="str">
            <v/>
          </cell>
        </row>
        <row r="1410">
          <cell r="D1410" t="str">
            <v/>
          </cell>
          <cell r="E1410" t="str">
            <v/>
          </cell>
          <cell r="F1410" t="str">
            <v/>
          </cell>
          <cell r="G1410" t="str">
            <v/>
          </cell>
          <cell r="H1410" t="str">
            <v/>
          </cell>
          <cell r="I1410" t="str">
            <v/>
          </cell>
          <cell r="J1410" t="str">
            <v/>
          </cell>
          <cell r="K1410" t="str">
            <v/>
          </cell>
          <cell r="L1410" t="str">
            <v/>
          </cell>
          <cell r="M1410" t="str">
            <v/>
          </cell>
          <cell r="N1410" t="str">
            <v/>
          </cell>
          <cell r="O1410" t="str">
            <v/>
          </cell>
        </row>
        <row r="1411">
          <cell r="D1411" t="str">
            <v/>
          </cell>
          <cell r="E1411" t="str">
            <v/>
          </cell>
          <cell r="F1411" t="str">
            <v/>
          </cell>
          <cell r="G1411" t="str">
            <v/>
          </cell>
          <cell r="H1411" t="str">
            <v/>
          </cell>
          <cell r="I1411" t="str">
            <v/>
          </cell>
          <cell r="J1411" t="str">
            <v/>
          </cell>
          <cell r="K1411" t="str">
            <v/>
          </cell>
          <cell r="L1411" t="str">
            <v/>
          </cell>
          <cell r="M1411" t="str">
            <v/>
          </cell>
          <cell r="N1411" t="str">
            <v/>
          </cell>
          <cell r="O1411" t="str">
            <v/>
          </cell>
        </row>
        <row r="1412">
          <cell r="D1412" t="str">
            <v/>
          </cell>
          <cell r="E1412" t="str">
            <v/>
          </cell>
          <cell r="F1412" t="str">
            <v/>
          </cell>
          <cell r="G1412" t="str">
            <v/>
          </cell>
          <cell r="H1412" t="str">
            <v/>
          </cell>
          <cell r="I1412" t="str">
            <v/>
          </cell>
          <cell r="J1412" t="str">
            <v/>
          </cell>
          <cell r="K1412" t="str">
            <v/>
          </cell>
          <cell r="L1412" t="str">
            <v/>
          </cell>
          <cell r="M1412" t="str">
            <v/>
          </cell>
          <cell r="N1412" t="str">
            <v/>
          </cell>
          <cell r="O1412" t="str">
            <v/>
          </cell>
        </row>
        <row r="1413">
          <cell r="D1413" t="str">
            <v/>
          </cell>
          <cell r="E1413" t="str">
            <v/>
          </cell>
          <cell r="F1413" t="str">
            <v/>
          </cell>
          <cell r="G1413" t="str">
            <v/>
          </cell>
          <cell r="H1413" t="str">
            <v/>
          </cell>
          <cell r="I1413" t="str">
            <v/>
          </cell>
          <cell r="J1413" t="str">
            <v/>
          </cell>
          <cell r="K1413" t="str">
            <v/>
          </cell>
          <cell r="L1413" t="str">
            <v/>
          </cell>
          <cell r="M1413" t="str">
            <v/>
          </cell>
          <cell r="N1413" t="str">
            <v/>
          </cell>
          <cell r="O1413" t="str">
            <v/>
          </cell>
        </row>
        <row r="1414">
          <cell r="D1414" t="str">
            <v/>
          </cell>
          <cell r="E1414" t="str">
            <v/>
          </cell>
          <cell r="F1414" t="str">
            <v/>
          </cell>
          <cell r="G1414" t="str">
            <v/>
          </cell>
          <cell r="H1414" t="str">
            <v/>
          </cell>
          <cell r="I1414" t="str">
            <v/>
          </cell>
          <cell r="J1414" t="str">
            <v/>
          </cell>
          <cell r="K1414" t="str">
            <v/>
          </cell>
          <cell r="L1414" t="str">
            <v/>
          </cell>
          <cell r="M1414" t="str">
            <v/>
          </cell>
          <cell r="N1414" t="str">
            <v/>
          </cell>
          <cell r="O1414" t="str">
            <v/>
          </cell>
        </row>
        <row r="1415">
          <cell r="D1415" t="str">
            <v/>
          </cell>
          <cell r="E1415" t="str">
            <v/>
          </cell>
          <cell r="F1415" t="str">
            <v/>
          </cell>
          <cell r="G1415" t="str">
            <v/>
          </cell>
          <cell r="H1415" t="str">
            <v/>
          </cell>
          <cell r="I1415" t="str">
            <v/>
          </cell>
          <cell r="J1415" t="str">
            <v/>
          </cell>
          <cell r="K1415" t="str">
            <v/>
          </cell>
          <cell r="L1415" t="str">
            <v/>
          </cell>
          <cell r="M1415" t="str">
            <v/>
          </cell>
          <cell r="N1415" t="str">
            <v/>
          </cell>
          <cell r="O1415" t="str">
            <v/>
          </cell>
        </row>
        <row r="1416">
          <cell r="D1416" t="str">
            <v/>
          </cell>
          <cell r="E1416" t="str">
            <v/>
          </cell>
          <cell r="F1416" t="str">
            <v/>
          </cell>
          <cell r="G1416" t="str">
            <v/>
          </cell>
          <cell r="H1416" t="str">
            <v/>
          </cell>
          <cell r="I1416" t="str">
            <v/>
          </cell>
          <cell r="J1416" t="str">
            <v/>
          </cell>
          <cell r="K1416" t="str">
            <v/>
          </cell>
          <cell r="L1416" t="str">
            <v/>
          </cell>
          <cell r="M1416" t="str">
            <v/>
          </cell>
          <cell r="N1416" t="str">
            <v/>
          </cell>
          <cell r="O1416" t="str">
            <v/>
          </cell>
        </row>
        <row r="1417">
          <cell r="D1417" t="str">
            <v/>
          </cell>
          <cell r="E1417" t="str">
            <v/>
          </cell>
          <cell r="F1417" t="str">
            <v/>
          </cell>
          <cell r="G1417" t="str">
            <v/>
          </cell>
          <cell r="H1417" t="str">
            <v/>
          </cell>
          <cell r="I1417" t="str">
            <v/>
          </cell>
          <cell r="J1417" t="str">
            <v/>
          </cell>
          <cell r="K1417" t="str">
            <v/>
          </cell>
          <cell r="L1417" t="str">
            <v/>
          </cell>
          <cell r="M1417" t="str">
            <v/>
          </cell>
          <cell r="N1417" t="str">
            <v/>
          </cell>
          <cell r="O1417" t="str">
            <v/>
          </cell>
        </row>
        <row r="1418">
          <cell r="D1418" t="str">
            <v/>
          </cell>
          <cell r="E1418" t="str">
            <v/>
          </cell>
          <cell r="F1418" t="str">
            <v/>
          </cell>
          <cell r="G1418" t="str">
            <v/>
          </cell>
          <cell r="H1418" t="str">
            <v/>
          </cell>
          <cell r="I1418" t="str">
            <v/>
          </cell>
          <cell r="J1418" t="str">
            <v/>
          </cell>
          <cell r="K1418" t="str">
            <v/>
          </cell>
          <cell r="L1418" t="str">
            <v/>
          </cell>
          <cell r="M1418" t="str">
            <v/>
          </cell>
          <cell r="N1418" t="str">
            <v/>
          </cell>
          <cell r="O1418" t="str">
            <v/>
          </cell>
        </row>
        <row r="1419">
          <cell r="D1419" t="str">
            <v/>
          </cell>
          <cell r="E1419" t="str">
            <v/>
          </cell>
          <cell r="F1419" t="str">
            <v/>
          </cell>
          <cell r="G1419" t="str">
            <v/>
          </cell>
          <cell r="H1419" t="str">
            <v/>
          </cell>
          <cell r="I1419" t="str">
            <v/>
          </cell>
          <cell r="J1419" t="str">
            <v/>
          </cell>
          <cell r="K1419" t="str">
            <v/>
          </cell>
          <cell r="L1419" t="str">
            <v/>
          </cell>
          <cell r="M1419" t="str">
            <v/>
          </cell>
          <cell r="N1419" t="str">
            <v/>
          </cell>
          <cell r="O1419" t="str">
            <v/>
          </cell>
        </row>
        <row r="1420">
          <cell r="D1420" t="str">
            <v/>
          </cell>
          <cell r="E1420" t="str">
            <v/>
          </cell>
          <cell r="F1420" t="str">
            <v/>
          </cell>
          <cell r="G1420" t="str">
            <v/>
          </cell>
          <cell r="H1420" t="str">
            <v/>
          </cell>
          <cell r="I1420" t="str">
            <v/>
          </cell>
          <cell r="J1420" t="str">
            <v/>
          </cell>
          <cell r="K1420" t="str">
            <v/>
          </cell>
          <cell r="L1420" t="str">
            <v/>
          </cell>
          <cell r="M1420" t="str">
            <v/>
          </cell>
          <cell r="N1420" t="str">
            <v/>
          </cell>
          <cell r="O1420" t="str">
            <v/>
          </cell>
        </row>
        <row r="1421">
          <cell r="D1421" t="str">
            <v/>
          </cell>
          <cell r="E1421" t="str">
            <v/>
          </cell>
          <cell r="F1421" t="str">
            <v/>
          </cell>
          <cell r="G1421" t="str">
            <v/>
          </cell>
          <cell r="H1421" t="str">
            <v/>
          </cell>
          <cell r="I1421" t="str">
            <v/>
          </cell>
          <cell r="J1421" t="str">
            <v/>
          </cell>
          <cell r="K1421" t="str">
            <v/>
          </cell>
          <cell r="L1421" t="str">
            <v/>
          </cell>
          <cell r="M1421" t="str">
            <v/>
          </cell>
          <cell r="N1421" t="str">
            <v/>
          </cell>
          <cell r="O1421" t="str">
            <v/>
          </cell>
        </row>
        <row r="1422">
          <cell r="D1422" t="str">
            <v/>
          </cell>
          <cell r="E1422" t="str">
            <v/>
          </cell>
          <cell r="F1422" t="str">
            <v/>
          </cell>
          <cell r="G1422" t="str">
            <v/>
          </cell>
          <cell r="H1422" t="str">
            <v/>
          </cell>
          <cell r="I1422" t="str">
            <v/>
          </cell>
          <cell r="J1422" t="str">
            <v/>
          </cell>
          <cell r="K1422" t="str">
            <v/>
          </cell>
          <cell r="L1422" t="str">
            <v/>
          </cell>
          <cell r="M1422" t="str">
            <v/>
          </cell>
          <cell r="N1422" t="str">
            <v/>
          </cell>
          <cell r="O1422" t="str">
            <v/>
          </cell>
        </row>
        <row r="1423">
          <cell r="D1423" t="str">
            <v/>
          </cell>
          <cell r="E1423" t="str">
            <v/>
          </cell>
          <cell r="F1423" t="str">
            <v/>
          </cell>
          <cell r="G1423" t="str">
            <v/>
          </cell>
          <cell r="H1423" t="str">
            <v/>
          </cell>
          <cell r="I1423" t="str">
            <v/>
          </cell>
          <cell r="J1423" t="str">
            <v/>
          </cell>
          <cell r="K1423" t="str">
            <v/>
          </cell>
          <cell r="L1423" t="str">
            <v/>
          </cell>
          <cell r="M1423" t="str">
            <v/>
          </cell>
          <cell r="N1423" t="str">
            <v/>
          </cell>
          <cell r="O1423" t="str">
            <v/>
          </cell>
        </row>
        <row r="1424">
          <cell r="D1424" t="str">
            <v/>
          </cell>
          <cell r="E1424" t="str">
            <v/>
          </cell>
          <cell r="F1424" t="str">
            <v/>
          </cell>
          <cell r="G1424" t="str">
            <v/>
          </cell>
          <cell r="H1424" t="str">
            <v/>
          </cell>
          <cell r="I1424" t="str">
            <v/>
          </cell>
          <cell r="J1424" t="str">
            <v/>
          </cell>
          <cell r="K1424" t="str">
            <v/>
          </cell>
          <cell r="L1424" t="str">
            <v/>
          </cell>
          <cell r="M1424" t="str">
            <v/>
          </cell>
          <cell r="N1424" t="str">
            <v/>
          </cell>
          <cell r="O1424" t="str">
            <v/>
          </cell>
        </row>
        <row r="1425">
          <cell r="D1425" t="str">
            <v/>
          </cell>
          <cell r="E1425" t="str">
            <v/>
          </cell>
          <cell r="F1425" t="str">
            <v/>
          </cell>
          <cell r="G1425" t="str">
            <v/>
          </cell>
          <cell r="H1425" t="str">
            <v/>
          </cell>
          <cell r="I1425" t="str">
            <v/>
          </cell>
          <cell r="J1425" t="str">
            <v/>
          </cell>
          <cell r="K1425" t="str">
            <v/>
          </cell>
          <cell r="L1425" t="str">
            <v/>
          </cell>
          <cell r="M1425" t="str">
            <v/>
          </cell>
          <cell r="N1425" t="str">
            <v/>
          </cell>
          <cell r="O1425" t="str">
            <v/>
          </cell>
        </row>
        <row r="1426">
          <cell r="D1426" t="str">
            <v/>
          </cell>
          <cell r="E1426" t="str">
            <v/>
          </cell>
          <cell r="F1426" t="str">
            <v/>
          </cell>
          <cell r="G1426" t="str">
            <v/>
          </cell>
          <cell r="H1426" t="str">
            <v/>
          </cell>
          <cell r="I1426" t="str">
            <v/>
          </cell>
          <cell r="J1426" t="str">
            <v/>
          </cell>
          <cell r="K1426" t="str">
            <v/>
          </cell>
          <cell r="L1426" t="str">
            <v/>
          </cell>
          <cell r="M1426" t="str">
            <v/>
          </cell>
          <cell r="N1426" t="str">
            <v/>
          </cell>
          <cell r="O1426" t="str">
            <v/>
          </cell>
        </row>
        <row r="1427">
          <cell r="D1427" t="str">
            <v/>
          </cell>
          <cell r="E1427" t="str">
            <v/>
          </cell>
          <cell r="F1427" t="str">
            <v/>
          </cell>
          <cell r="G1427" t="str">
            <v/>
          </cell>
          <cell r="H1427" t="str">
            <v/>
          </cell>
          <cell r="I1427" t="str">
            <v/>
          </cell>
          <cell r="J1427" t="str">
            <v/>
          </cell>
          <cell r="K1427" t="str">
            <v/>
          </cell>
          <cell r="L1427" t="str">
            <v/>
          </cell>
          <cell r="M1427" t="str">
            <v/>
          </cell>
          <cell r="N1427" t="str">
            <v/>
          </cell>
          <cell r="O1427" t="str">
            <v/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6">
          <cell r="L6">
            <v>0</v>
          </cell>
          <cell r="P6" t="str">
            <v>1°CG</v>
          </cell>
        </row>
        <row r="7">
          <cell r="P7" t="str">
            <v>1°EL</v>
          </cell>
        </row>
        <row r="8">
          <cell r="P8" t="str">
            <v>1°HP</v>
          </cell>
        </row>
        <row r="9">
          <cell r="P9" t="str">
            <v>1°Lit</v>
          </cell>
        </row>
        <row r="10">
          <cell r="P10" t="str">
            <v>1°MG</v>
          </cell>
        </row>
        <row r="11">
          <cell r="P11" t="str">
            <v>1°P</v>
          </cell>
        </row>
        <row r="12">
          <cell r="P12" t="str">
            <v>1°Sc</v>
          </cell>
        </row>
        <row r="13">
          <cell r="P13" t="str">
            <v>1°TCC</v>
          </cell>
        </row>
        <row r="14">
          <cell r="P14" t="str">
            <v>1M</v>
          </cell>
        </row>
        <row r="15">
          <cell r="P15" t="str">
            <v>2°CG</v>
          </cell>
        </row>
        <row r="16">
          <cell r="P16" t="str">
            <v>2°EL</v>
          </cell>
        </row>
        <row r="17">
          <cell r="P17" t="str">
            <v>2°HP</v>
          </cell>
        </row>
        <row r="18">
          <cell r="P18" t="str">
            <v>2°Lit</v>
          </cell>
        </row>
        <row r="19">
          <cell r="P19" t="str">
            <v>2°MG</v>
          </cell>
        </row>
        <row r="20">
          <cell r="P20" t="str">
            <v>2°P</v>
          </cell>
        </row>
        <row r="21">
          <cell r="P21" t="str">
            <v>2°Sc</v>
          </cell>
        </row>
        <row r="22">
          <cell r="P22" t="str">
            <v>2°TCC</v>
          </cell>
        </row>
        <row r="23">
          <cell r="P23" t="str">
            <v>2M</v>
          </cell>
        </row>
        <row r="24">
          <cell r="P24" t="str">
            <v>3°CG</v>
          </cell>
        </row>
        <row r="25">
          <cell r="P25" t="str">
            <v>3°EL</v>
          </cell>
        </row>
        <row r="26">
          <cell r="P26" t="str">
            <v>3°HP</v>
          </cell>
        </row>
        <row r="27">
          <cell r="P27" t="str">
            <v>3°Lit</v>
          </cell>
        </row>
        <row r="28">
          <cell r="P28" t="str">
            <v>3°MG</v>
          </cell>
        </row>
        <row r="29">
          <cell r="P29" t="str">
            <v>3°P</v>
          </cell>
        </row>
        <row r="30">
          <cell r="P30" t="str">
            <v>3°Sc</v>
          </cell>
        </row>
        <row r="31">
          <cell r="P31" t="str">
            <v>3°TCC</v>
          </cell>
        </row>
        <row r="32">
          <cell r="P32" t="str">
            <v>3M</v>
          </cell>
        </row>
        <row r="33">
          <cell r="P33" t="str">
            <v>4°CG</v>
          </cell>
        </row>
        <row r="34">
          <cell r="P34" t="str">
            <v>4°EL</v>
          </cell>
        </row>
        <row r="35">
          <cell r="P35" t="str">
            <v>4°HP</v>
          </cell>
        </row>
        <row r="36">
          <cell r="P36" t="str">
            <v>4°Lit</v>
          </cell>
        </row>
        <row r="37">
          <cell r="P37" t="str">
            <v>4°MG</v>
          </cell>
        </row>
        <row r="38">
          <cell r="P38" t="str">
            <v>4°P</v>
          </cell>
        </row>
        <row r="39">
          <cell r="P39" t="str">
            <v>4°Sc</v>
          </cell>
        </row>
        <row r="40">
          <cell r="P40" t="str">
            <v>4°TCC</v>
          </cell>
        </row>
        <row r="41">
          <cell r="P41" t="str">
            <v>5°P</v>
          </cell>
        </row>
        <row r="42">
          <cell r="P42" t="str">
            <v>6°P</v>
          </cell>
        </row>
        <row r="43">
          <cell r="P43" t="str">
            <v>7°EB</v>
          </cell>
        </row>
        <row r="44">
          <cell r="P44" t="str">
            <v>8°EB</v>
          </cell>
        </row>
        <row r="25228">
          <cell r="L25228">
            <v>110000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F33AD-FB31-4E8B-B683-9B28E800A762}" name="BSSBS2627" displayName="BSSBS2627" ref="C8:R1229" totalsRowShown="0" headerRowDxfId="143" dataDxfId="141" headerRowBorderDxfId="142" tableBorderDxfId="140" totalsRowBorderDxfId="139">
  <autoFilter ref="C8:R1229" xr:uid="{00000000-0009-0000-0100-000001000000}"/>
  <sortState xmlns:xlrd2="http://schemas.microsoft.com/office/spreadsheetml/2017/richdata2" ref="C9:R993">
    <sortCondition ref="N8:N993"/>
  </sortState>
  <tableColumns count="16">
    <tableColumn id="1" xr3:uid="{6CAA9784-7CC1-47DB-940C-29921F80F169}" name="Matricule" dataDxfId="138"/>
    <tableColumn id="2" xr3:uid="{AC464F49-7664-48F8-97E7-25ADF08009C4}" name="Nom" dataDxfId="137"/>
    <tableColumn id="3" xr3:uid="{1E1A0235-F6B6-4BB2-B585-35FB7A903526}" name="NumRecu" dataDxfId="136"/>
    <tableColumn id="4" xr3:uid="{CF1EEEBB-54A8-48A7-AC18-B5BC40B48FD0}" name="Sexe" dataDxfId="135"/>
    <tableColumn id="5" xr3:uid="{AF7F1492-FC8A-40A7-8F5D-87FB140AD165}" name="Classe" dataDxfId="134"/>
    <tableColumn id="6" xr3:uid="{4CC8DCCB-A390-4EA7-9025-EAA06FE61C5E}" name="Categorie" dataDxfId="133"/>
    <tableColumn id="15" xr3:uid="{CAC6DEF7-C59B-44B1-B970-B62B5C36044C}" name="Mois" dataDxfId="132"/>
    <tableColumn id="7" xr3:uid="{41CBB28D-6FE8-4883-9FEB-6A59B45C0A7C}" name="FIP" dataDxfId="131"/>
    <tableColumn id="8" xr3:uid="{CFDB4B2F-32CF-424A-AE93-11F8969DAA49}" name="FF" dataDxfId="130"/>
    <tableColumn id="10" xr3:uid="{B1672580-2840-45A9-844D-BB10EA6FAFE9}" name="Obs" dataDxfId="129"/>
    <tableColumn id="11" xr3:uid="{075D36B7-BC7D-4BCF-A9A3-E20D939BB496}" name="Jour" dataDxfId="128"/>
    <tableColumn id="12" xr3:uid="{21E1F692-7229-4B1C-B227-9923B534DF23}" name="DatePaiement" dataDxfId="127"/>
    <tableColumn id="14" xr3:uid="{B7CCC7B0-EB76-4884-BDFF-ABA4BA07C23C}" name="AnneeScolaire" dataDxfId="126"/>
    <tableColumn id="13" xr3:uid="{1A7D395D-B62F-4960-870C-88C22C33FD26}" name="Section" dataDxfId="125"/>
    <tableColumn id="16" xr3:uid="{2E115D02-1ECD-4918-A2A4-2D8F0F6495A7}" name="Telephone" dataDxfId="124"/>
    <tableColumn id="17" xr3:uid="{7C88DFD9-9D09-486D-BAC3-C9C113F0AFD6}" name="Email" dataDxfId="1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2306-F9DF-4A8F-8FB4-5EDEB1720DE2}">
  <sheetPr codeName="Feuil120">
    <tabColor theme="4" tint="-0.249977111117893"/>
  </sheetPr>
  <dimension ref="B1:BA1623"/>
  <sheetViews>
    <sheetView showGridLines="0" tabSelected="1" zoomScale="70" zoomScaleNormal="70" workbookViewId="0">
      <pane ySplit="8" topLeftCell="A1205" activePane="bottomLeft" state="frozen"/>
      <selection pane="bottomLeft" activeCell="K1232" sqref="K1232"/>
    </sheetView>
  </sheetViews>
  <sheetFormatPr baseColWidth="10" defaultColWidth="11.44140625" defaultRowHeight="15.6" x14ac:dyDescent="0.3"/>
  <cols>
    <col min="1" max="1" width="11.44140625" style="1"/>
    <col min="2" max="2" width="13.5546875" style="6" bestFit="1" customWidth="1"/>
    <col min="3" max="3" width="13.5546875" style="4" bestFit="1" customWidth="1"/>
    <col min="4" max="4" width="39.77734375" style="1" bestFit="1" customWidth="1"/>
    <col min="5" max="5" width="15" style="5" bestFit="1" customWidth="1"/>
    <col min="6" max="6" width="11.44140625" style="4" bestFit="1" customWidth="1"/>
    <col min="7" max="7" width="14.44140625" style="4" bestFit="1" customWidth="1"/>
    <col min="8" max="8" width="13.109375" style="4" bestFit="1" customWidth="1"/>
    <col min="9" max="9" width="10.109375" style="4" bestFit="1" customWidth="1"/>
    <col min="10" max="10" width="14.109375" style="4" bestFit="1" customWidth="1"/>
    <col min="11" max="11" width="10" style="4" bestFit="1" customWidth="1"/>
    <col min="12" max="12" width="7.5546875" style="4" customWidth="1"/>
    <col min="13" max="13" width="9.33203125" style="4" bestFit="1" customWidth="1"/>
    <col min="14" max="14" width="19.6640625" style="3" bestFit="1" customWidth="1"/>
    <col min="15" max="15" width="19.88671875" style="2" bestFit="1" customWidth="1"/>
    <col min="16" max="16" width="11" style="2" bestFit="1" customWidth="1"/>
    <col min="17" max="17" width="27.88671875" style="2" bestFit="1" customWidth="1"/>
    <col min="18" max="18" width="36.109375" style="2" bestFit="1" customWidth="1"/>
    <col min="19" max="20" width="7.44140625" style="1" customWidth="1"/>
    <col min="21" max="21" width="15.109375" style="1" customWidth="1"/>
    <col min="22" max="22" width="7.44140625" style="1" customWidth="1"/>
    <col min="23" max="23" width="18.6640625" style="1" customWidth="1"/>
    <col min="24" max="24" width="7.44140625" style="1" customWidth="1"/>
    <col min="25" max="25" width="15.44140625" style="1" customWidth="1"/>
    <col min="26" max="26" width="25.109375" style="1" bestFit="1" customWidth="1"/>
    <col min="27" max="27" width="13.88671875" style="1" bestFit="1" customWidth="1"/>
    <col min="28" max="32" width="11.5546875" style="1" bestFit="1" customWidth="1"/>
    <col min="33" max="38" width="11.5546875" style="1" customWidth="1"/>
    <col min="39" max="39" width="13.44140625" style="1" customWidth="1"/>
    <col min="40" max="40" width="11.5546875" style="1" bestFit="1" customWidth="1"/>
    <col min="41" max="41" width="31.6640625" style="1" customWidth="1"/>
    <col min="42" max="42" width="11.44140625" style="1"/>
    <col min="43" max="43" width="16.44140625" style="1" customWidth="1"/>
    <col min="44" max="44" width="18.5546875" style="1" customWidth="1"/>
    <col min="45" max="49" width="11.44140625" style="1"/>
    <col min="50" max="50" width="14.88671875" style="1" bestFit="1" customWidth="1"/>
    <col min="51" max="51" width="11.44140625" style="1"/>
    <col min="52" max="52" width="13" style="1" bestFit="1" customWidth="1"/>
    <col min="53" max="16384" width="11.44140625" style="1"/>
  </cols>
  <sheetData>
    <row r="1" spans="2:53" x14ac:dyDescent="0.3">
      <c r="M1" s="2"/>
      <c r="N1" s="23"/>
      <c r="O1" s="1"/>
      <c r="P1" s="1"/>
      <c r="Q1" s="1"/>
      <c r="R1" s="1"/>
    </row>
    <row r="2" spans="2:53" x14ac:dyDescent="0.3">
      <c r="C2" s="61"/>
      <c r="M2" s="2"/>
      <c r="N2" s="23"/>
      <c r="O2" s="1"/>
      <c r="P2" s="1"/>
      <c r="Q2" s="1"/>
      <c r="R2" s="1"/>
    </row>
    <row r="3" spans="2:53" x14ac:dyDescent="0.3">
      <c r="M3" s="2"/>
      <c r="N3" s="23"/>
      <c r="O3" s="1"/>
      <c r="P3" s="1"/>
      <c r="Q3" s="1"/>
      <c r="R3" s="1"/>
    </row>
    <row r="4" spans="2:53" x14ac:dyDescent="0.3">
      <c r="M4" s="2"/>
      <c r="N4" s="23"/>
      <c r="O4" s="1"/>
      <c r="P4" s="1"/>
      <c r="Q4" s="1"/>
      <c r="R4" s="1"/>
    </row>
    <row r="5" spans="2:53" ht="16.2" thickBot="1" x14ac:dyDescent="0.35">
      <c r="M5" s="2"/>
      <c r="N5" s="23"/>
      <c r="O5" s="1"/>
      <c r="P5" s="1"/>
      <c r="Q5" s="1"/>
      <c r="R5" s="1"/>
    </row>
    <row r="6" spans="2:53" ht="16.8" thickBot="1" x14ac:dyDescent="0.35">
      <c r="B6" s="70"/>
      <c r="C6" s="52"/>
      <c r="D6" s="50"/>
      <c r="E6" s="53"/>
      <c r="F6" s="52"/>
      <c r="G6" s="52"/>
      <c r="H6" s="52"/>
      <c r="I6" s="52"/>
      <c r="J6" s="72" t="s">
        <v>830</v>
      </c>
      <c r="K6" s="72"/>
      <c r="L6" s="52"/>
      <c r="M6" s="72" t="s">
        <v>829</v>
      </c>
      <c r="N6" s="72"/>
      <c r="O6" s="47"/>
      <c r="P6" s="47"/>
      <c r="Q6" s="47"/>
      <c r="R6" s="47"/>
      <c r="S6" s="60"/>
      <c r="T6" s="49"/>
      <c r="U6" s="59" t="s">
        <v>77</v>
      </c>
      <c r="V6" s="58"/>
      <c r="W6" s="57" t="s">
        <v>93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N6" s="56" t="s">
        <v>828</v>
      </c>
      <c r="AO6" s="55" t="s">
        <v>827</v>
      </c>
    </row>
    <row r="7" spans="2:53" x14ac:dyDescent="0.3">
      <c r="B7" s="54"/>
      <c r="D7" s="50"/>
      <c r="E7" s="53"/>
      <c r="F7" s="52"/>
      <c r="G7" s="52"/>
      <c r="H7" s="52"/>
      <c r="I7" s="52"/>
      <c r="J7" s="47"/>
      <c r="K7" s="47"/>
      <c r="L7" s="52"/>
      <c r="M7" s="47"/>
      <c r="N7" s="51"/>
      <c r="O7" s="47"/>
      <c r="P7" s="47"/>
      <c r="Q7" s="47"/>
      <c r="R7" s="47"/>
      <c r="S7" s="50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</row>
    <row r="8" spans="2:53" x14ac:dyDescent="0.3">
      <c r="B8" s="69" t="s">
        <v>1287</v>
      </c>
      <c r="C8" s="62" t="s">
        <v>836</v>
      </c>
      <c r="D8" s="63" t="s">
        <v>1288</v>
      </c>
      <c r="E8" s="64" t="s">
        <v>831</v>
      </c>
      <c r="F8" s="63" t="s">
        <v>832</v>
      </c>
      <c r="G8" s="63" t="s">
        <v>833</v>
      </c>
      <c r="H8" s="63" t="s">
        <v>834</v>
      </c>
      <c r="I8" s="63" t="s">
        <v>835</v>
      </c>
      <c r="J8" s="63" t="s">
        <v>4</v>
      </c>
      <c r="K8" s="63" t="s">
        <v>5</v>
      </c>
      <c r="L8" s="65" t="s">
        <v>843</v>
      </c>
      <c r="M8" s="63" t="s">
        <v>842</v>
      </c>
      <c r="N8" s="66" t="s">
        <v>837</v>
      </c>
      <c r="O8" s="67" t="s">
        <v>838</v>
      </c>
      <c r="P8" s="68" t="s">
        <v>839</v>
      </c>
      <c r="Q8" s="79" t="s">
        <v>840</v>
      </c>
      <c r="R8" s="79" t="s">
        <v>841</v>
      </c>
      <c r="S8" s="48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</row>
    <row r="9" spans="2:53" ht="15.75" customHeight="1" x14ac:dyDescent="0.3">
      <c r="B9" s="80">
        <v>1</v>
      </c>
      <c r="C9" s="81" t="s">
        <v>826</v>
      </c>
      <c r="D9" s="82" t="s">
        <v>825</v>
      </c>
      <c r="E9" s="83">
        <v>6672</v>
      </c>
      <c r="F9" s="83" t="s">
        <v>28</v>
      </c>
      <c r="G9" s="83" t="s">
        <v>624</v>
      </c>
      <c r="H9" s="83" t="s">
        <v>14</v>
      </c>
      <c r="I9" s="83" t="s">
        <v>19</v>
      </c>
      <c r="J9" s="83">
        <v>55</v>
      </c>
      <c r="K9" s="84"/>
      <c r="L9" s="83" t="s">
        <v>26</v>
      </c>
      <c r="M9" s="83" t="s">
        <v>216</v>
      </c>
      <c r="N9" s="85">
        <v>45934</v>
      </c>
      <c r="O9" s="86" t="s">
        <v>10</v>
      </c>
      <c r="P9" s="85" t="s">
        <v>20</v>
      </c>
      <c r="Q9" s="87"/>
      <c r="R9" s="87"/>
      <c r="S9" s="30"/>
      <c r="T9" s="29"/>
      <c r="U9" s="29"/>
      <c r="V9" s="29"/>
      <c r="W9" s="29"/>
      <c r="X9" s="29">
        <v>45896.650613425925</v>
      </c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M9" s="23"/>
      <c r="AN9" s="23"/>
      <c r="AS9" s="46">
        <v>45236.128159722219</v>
      </c>
      <c r="AU9" s="46">
        <v>45172.044479166667</v>
      </c>
    </row>
    <row r="10" spans="2:53" ht="16.2" x14ac:dyDescent="0.3">
      <c r="B10" s="80">
        <v>2</v>
      </c>
      <c r="C10" s="84" t="s">
        <v>798</v>
      </c>
      <c r="D10" s="82" t="s">
        <v>797</v>
      </c>
      <c r="E10" s="83">
        <v>6503</v>
      </c>
      <c r="F10" s="83" t="s">
        <v>16</v>
      </c>
      <c r="G10" s="83" t="s">
        <v>113</v>
      </c>
      <c r="H10" s="83" t="s">
        <v>14</v>
      </c>
      <c r="I10" s="83" t="s">
        <v>56</v>
      </c>
      <c r="J10" s="83">
        <v>20</v>
      </c>
      <c r="K10" s="84"/>
      <c r="L10" s="83" t="s">
        <v>12</v>
      </c>
      <c r="M10" s="83" t="s">
        <v>112</v>
      </c>
      <c r="N10" s="88">
        <v>45876</v>
      </c>
      <c r="O10" s="89" t="s">
        <v>10</v>
      </c>
      <c r="P10" s="88" t="s">
        <v>20</v>
      </c>
      <c r="Q10" s="90"/>
      <c r="R10" s="90"/>
      <c r="S10" s="30"/>
      <c r="T10" s="29"/>
      <c r="U10" s="29"/>
      <c r="V10" s="29"/>
      <c r="W10" s="29"/>
      <c r="X10" s="29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M10" s="23"/>
      <c r="AN10" s="23"/>
      <c r="AS10" s="45" t="s">
        <v>2</v>
      </c>
      <c r="AT10" s="45" t="s">
        <v>1</v>
      </c>
      <c r="AU10" s="44" t="s">
        <v>824</v>
      </c>
      <c r="AV10" s="44" t="s">
        <v>6</v>
      </c>
      <c r="AW10" s="44" t="s">
        <v>823</v>
      </c>
      <c r="AX10" s="44" t="s">
        <v>3</v>
      </c>
      <c r="AY10" s="44" t="s">
        <v>822</v>
      </c>
      <c r="AZ10" s="44" t="s">
        <v>821</v>
      </c>
      <c r="BA10" s="44" t="s">
        <v>820</v>
      </c>
    </row>
    <row r="11" spans="2:53" ht="16.2" x14ac:dyDescent="0.3">
      <c r="B11" s="80">
        <v>3</v>
      </c>
      <c r="C11" s="84" t="s">
        <v>819</v>
      </c>
      <c r="D11" s="82" t="s">
        <v>818</v>
      </c>
      <c r="E11" s="83">
        <v>6882</v>
      </c>
      <c r="F11" s="83" t="s">
        <v>28</v>
      </c>
      <c r="G11" s="83" t="s">
        <v>161</v>
      </c>
      <c r="H11" s="83" t="s">
        <v>14</v>
      </c>
      <c r="I11" s="83" t="s">
        <v>13</v>
      </c>
      <c r="J11" s="83">
        <v>80</v>
      </c>
      <c r="K11" s="84"/>
      <c r="L11" s="83" t="s">
        <v>12</v>
      </c>
      <c r="M11" s="83"/>
      <c r="N11" s="85">
        <v>45879</v>
      </c>
      <c r="O11" s="86" t="s">
        <v>25</v>
      </c>
      <c r="P11" s="85" t="s">
        <v>20</v>
      </c>
      <c r="Q11" s="91">
        <v>993138694</v>
      </c>
      <c r="R11" s="87"/>
      <c r="S11" s="30"/>
      <c r="T11" s="29"/>
      <c r="U11" s="29"/>
      <c r="V11" s="29"/>
      <c r="W11" s="29"/>
      <c r="X11" s="29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M11" s="23"/>
      <c r="AQ11" s="1">
        <v>0</v>
      </c>
    </row>
    <row r="12" spans="2:53" ht="16.2" x14ac:dyDescent="0.3">
      <c r="B12" s="80">
        <v>4</v>
      </c>
      <c r="C12" s="84" t="s">
        <v>311</v>
      </c>
      <c r="D12" s="82" t="s">
        <v>310</v>
      </c>
      <c r="E12" s="83">
        <v>6505</v>
      </c>
      <c r="F12" s="83" t="s">
        <v>16</v>
      </c>
      <c r="G12" s="83" t="s">
        <v>113</v>
      </c>
      <c r="H12" s="83" t="s">
        <v>14</v>
      </c>
      <c r="I12" s="83" t="s">
        <v>19</v>
      </c>
      <c r="J12" s="83">
        <v>45</v>
      </c>
      <c r="K12" s="84"/>
      <c r="L12" s="83" t="s">
        <v>12</v>
      </c>
      <c r="M12" s="83" t="s">
        <v>49</v>
      </c>
      <c r="N12" s="92">
        <v>45881</v>
      </c>
      <c r="O12" s="93" t="s">
        <v>25</v>
      </c>
      <c r="P12" s="92" t="s">
        <v>20</v>
      </c>
      <c r="Q12" s="94"/>
      <c r="R12" s="95"/>
      <c r="S12" s="30"/>
      <c r="T12" s="29"/>
      <c r="U12" s="29"/>
      <c r="V12" s="29"/>
      <c r="W12" s="29"/>
      <c r="X12" s="29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M12" s="43" t="e">
        <f t="array" ref="AM12">INDEX('BDFIP2526 (2)'!$N$9:$N$1229,SMALL(IF($AO$6='BDFIP2526 (2)'!$D$9:$D$1229,ROW('BDFIP2526 (2)'!$D$9:$D$1229)-MIN(ROW($D$9))+1,""),1))</f>
        <v>#NUM!</v>
      </c>
      <c r="AN12" s="1" t="e">
        <f t="array" ref="AN12">INDEX('BDFIP2526 (2)'!#REF!,SMALL(IF($AO$6='BDFIP2526 (2)'!$D$9:$D$1229,ROW('BDFIP2526 (2)'!$D$9:$D$1229)-MIN(ROW($D$9))+1,""),1))</f>
        <v>#REF!</v>
      </c>
      <c r="AO12" s="41" t="e">
        <f t="array" ref="AO12">INDEX(#REF!,SMALL(IF($AO$6='BDFIP2526 (2)'!$D$9:$D$1229,ROW('BDFIP2526 (2)'!$D$9:$D$1229)-MIN(ROW($D$9))+1,""),1))</f>
        <v>#REF!</v>
      </c>
      <c r="AQ12" s="1">
        <v>2</v>
      </c>
      <c r="AS12" s="40"/>
      <c r="AT12" s="40" t="str">
        <f>IFERROR(INDEX('BDFIP2526 (2)'!$F$9:$F$1229,SMALL(IF($AO$6='BDFIP2526 (2)'!$D$9:$D$1229,ROW('BDFIP2526 (2)'!$D$9:$D$1229)-MIN(ROW($D$9))+1,""),ROWS(AT$12:AT12))),"")</f>
        <v/>
      </c>
      <c r="AU12" s="39" t="str">
        <f t="array" ref="AU12">IFERROR(INDEX('BDFIP2526 (2)'!$N$9:$N$1229,SMALL(IF($AO$6='BDFIP2526 (2)'!$D$9:$D$1229,ROW('BDFIP2526 (2)'!$D$9:$D$1229)-MIN(ROW($D$9))+1,""),ROWS(AU$12:AU12))),"")</f>
        <v/>
      </c>
      <c r="AV12" s="38" t="str">
        <f t="array" ref="AV12">IFERROR(INDEX('BDFIP2526 (2)'!$M$9:$M$1229,SMALL(IF($AO$6='BDFIP2526 (2)'!$D$9:$D$1229,ROW('BDFIP2526 (2)'!$D$9:$D$1229)-MIN(ROW($D$9))+1,""),ROWS(AV$12:AV12))),"")</f>
        <v/>
      </c>
      <c r="AW12" s="37" t="str">
        <f t="array" ref="AW12">IFERROR(INDEX('BDFIP2526 (2)'!$E$9:$E$1229,SMALL(IF($AO$6='BDFIP2526 (2)'!$D$9:$D$1229,ROW('BDFIP2526 (2)'!$D$9:$D$1229)-MIN(ROW($D$9))+1,""),ROWS(AW$12:AW12))),"")</f>
        <v/>
      </c>
      <c r="AX12" s="36" t="str">
        <f t="array" ref="AX12">IFERROR(INDEX('BDFIP2526 (2)'!#REF!,SMALL(IF($AO$6='BDFIP2526 (2)'!$D$9:$D$1229,ROW('BDFIP2526 (2)'!$D$9:$D$1229)-MIN(ROW($D$9))+1,""),ROWS(AX$12:AX12))),"")</f>
        <v/>
      </c>
      <c r="AY12" s="35" t="str">
        <f t="array" ref="AY12">IFERROR(INDEX('BDFIP2526 (2)'!$J$9:$J$1229,SMALL(IF($AO$6='BDFIP2526 (2)'!$D$9:$D$1229,ROW('BDFIP2526 (2)'!$D$9:$D$1229)-MIN(ROW($D$9))+1,""),ROWS(AY$12:AY12))),"")</f>
        <v/>
      </c>
      <c r="AZ12" s="34" t="str">
        <f t="array" ref="AZ12">IFERROR(INDEX('BDFIP2526 (2)'!$K$9:$K$1229,SMALL(IF($AO$6='BDFIP2526 (2)'!$D$9:$D$1229,ROW('BDFIP2526 (2)'!$D$9:$D$1229)-MIN(ROW($D$9))+1,""),ROWS(AZ$12:AZ12))),"")</f>
        <v/>
      </c>
      <c r="BA12" s="33" t="str">
        <f t="array" ref="BA12">IFERROR(INDEX(#REF!,SMALL(IF($AO$6='BDFIP2526 (2)'!$D$9:$D$1229,ROW('BDFIP2526 (2)'!$D$9:$D$1229)-MIN(ROW($D$9))+1,""),ROWS(BA$12:BA12))),"")</f>
        <v/>
      </c>
    </row>
    <row r="13" spans="2:53" ht="16.2" x14ac:dyDescent="0.3">
      <c r="B13" s="80">
        <v>5</v>
      </c>
      <c r="C13" s="84" t="s">
        <v>313</v>
      </c>
      <c r="D13" s="82" t="s">
        <v>312</v>
      </c>
      <c r="E13" s="83">
        <v>6504</v>
      </c>
      <c r="F13" s="84" t="s">
        <v>16</v>
      </c>
      <c r="G13" s="84" t="s">
        <v>31</v>
      </c>
      <c r="H13" s="84" t="s">
        <v>14</v>
      </c>
      <c r="I13" s="84" t="s">
        <v>19</v>
      </c>
      <c r="J13" s="84">
        <v>80</v>
      </c>
      <c r="K13" s="84"/>
      <c r="L13" s="84" t="s">
        <v>12</v>
      </c>
      <c r="M13" s="84" t="s">
        <v>49</v>
      </c>
      <c r="N13" s="92">
        <v>45881</v>
      </c>
      <c r="O13" s="93" t="s">
        <v>25</v>
      </c>
      <c r="P13" s="84" t="s">
        <v>20</v>
      </c>
      <c r="Q13" s="94"/>
      <c r="R13" s="94"/>
      <c r="S13" s="30"/>
      <c r="T13" s="29"/>
      <c r="U13" s="29"/>
      <c r="V13" s="29"/>
      <c r="W13" s="29"/>
      <c r="X13" s="29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M13" s="23" t="e">
        <f t="array" ref="AM13">INDEX('BDFIP2526 (2)'!$N$9:$N$1229,SMALL(IF($AO$6='BDFIP2526 (2)'!$D$9:$D$1229,ROW('BDFIP2526 (2)'!$D$9:$D$1229)-MIN(ROW($D$9))+1,""),2))</f>
        <v>#NUM!</v>
      </c>
      <c r="AN13" s="1" t="e">
        <f t="array" ref="AN13">INDEX('BDFIP2526 (2)'!#REF!,SMALL(IF($AO$6='BDFIP2526 (2)'!$D$9:$D$1229,ROW('BDFIP2526 (2)'!$D$9:$D$1229)-MIN(ROW($D$9))+1,""),2))</f>
        <v>#REF!</v>
      </c>
      <c r="AO13" s="41" t="e">
        <f t="array" ref="AO13">INDEX(#REF!,SMALL(IF($AO$6='BDFIP2526 (2)'!$D$9:$D$1229,ROW('BDFIP2526 (2)'!$D$9:$D$1229)-MIN(ROW($D$9))+1,""),2))</f>
        <v>#REF!</v>
      </c>
      <c r="AQ13" s="1">
        <v>6</v>
      </c>
      <c r="AS13" s="40" t="str">
        <f t="array" ref="AS13">IFERROR(INDEX('BDFIP2526 (2)'!$G$9:$G$1229,SMALL(IF($AO$6='BDFIP2526 (2)'!$D$9:$D$1229,ROW('BDFIP2526 (2)'!$D$9:$D$1229)-MIN(ROW($D$9))+1,""),ROWS(AS$12:AS13))),"")</f>
        <v/>
      </c>
      <c r="AT13" s="40" t="str">
        <f t="array" ref="AT13">IFERROR(INDEX('BDFIP2526 (2)'!$F$9:$F$1229,SMALL(IF($AO$6='BDFIP2526 (2)'!$D$9:$D$1229,ROW('BDFIP2526 (2)'!$D$9:$D$1229)-MIN(ROW($D$9))+1,""),ROWS(AT$12:AT13))),"")</f>
        <v/>
      </c>
      <c r="AU13" s="39" t="str">
        <f t="array" ref="AU13">IFERROR(INDEX('BDFIP2526 (2)'!$N$9:$N$1229,SMALL(IF($AO$6='BDFIP2526 (2)'!$D$9:$D$1229,ROW('BDFIP2526 (2)'!$D$9:$D$1229)-MIN(ROW($D$9))+1,""),ROWS(AU$12:AU13))),"")</f>
        <v/>
      </c>
      <c r="AV13" s="38" t="str">
        <f t="array" ref="AV13">IFERROR(INDEX('BDFIP2526 (2)'!$M$9:$M$1229,SMALL(IF($AO$6='BDFIP2526 (2)'!$D$9:$D$1229,ROW('BDFIP2526 (2)'!$D$9:$D$1229)-MIN(ROW($D$9))+1,""),ROWS(AV$12:AV13))),"")</f>
        <v/>
      </c>
      <c r="AW13" s="37" t="str">
        <f t="array" ref="AW13">IFERROR(INDEX('BDFIP2526 (2)'!$E$9:$E$1229,SMALL(IF($AO$6='BDFIP2526 (2)'!$D$9:$D$1229,ROW('BDFIP2526 (2)'!$D$9:$D$1229)-MIN(ROW($D$9))+1,""),ROWS(AW$12:AW13))),"")</f>
        <v/>
      </c>
      <c r="AX13" s="36" t="str">
        <f t="array" ref="AX13">IFERROR(INDEX('BDFIP2526 (2)'!#REF!,SMALL(IF($AO$6='BDFIP2526 (2)'!$D$9:$D$1229,ROW('BDFIP2526 (2)'!$D$9:$D$1229)-MIN(ROW($D$9))+1,""),ROWS(AX$12:AX13))),"")</f>
        <v/>
      </c>
      <c r="AY13" s="35" t="str">
        <f t="array" ref="AY13">IFERROR(INDEX('BDFIP2526 (2)'!$J$9:$J$1229,SMALL(IF($AO$6='BDFIP2526 (2)'!$D$9:$D$1229,ROW('BDFIP2526 (2)'!$D$9:$D$1229)-MIN(ROW($D$9))+1,""),ROWS(AY$12:AY13))),"")</f>
        <v/>
      </c>
      <c r="AZ13" s="34" t="str">
        <f t="array" ref="AZ13">IFERROR(INDEX('BDFIP2526 (2)'!$K$9:$K$1229,SMALL(IF($AO$6='BDFIP2526 (2)'!$D$9:$D$1229,ROW('BDFIP2526 (2)'!$D$9:$D$1229)-MIN(ROW($D$9))+1,""),ROWS(AZ$12:AZ13))),"")</f>
        <v/>
      </c>
      <c r="BA13" s="33" t="str">
        <f t="array" ref="BA13">IFERROR(INDEX(#REF!,SMALL(IF($AO$6='BDFIP2526 (2)'!$D$9:$D$1229,ROW('BDFIP2526 (2)'!$D$9:$D$1229)-MIN(ROW($D$9))+1,""),ROWS(BA$12:BA13))),"")</f>
        <v/>
      </c>
    </row>
    <row r="14" spans="2:53" ht="16.2" x14ac:dyDescent="0.3">
      <c r="B14" s="80">
        <v>6</v>
      </c>
      <c r="C14" s="84" t="s">
        <v>205</v>
      </c>
      <c r="D14" s="82" t="s">
        <v>204</v>
      </c>
      <c r="E14" s="83">
        <v>6510</v>
      </c>
      <c r="F14" s="83" t="s">
        <v>16</v>
      </c>
      <c r="G14" s="83" t="s">
        <v>77</v>
      </c>
      <c r="H14" s="83" t="s">
        <v>14</v>
      </c>
      <c r="I14" s="83" t="s">
        <v>809</v>
      </c>
      <c r="J14" s="83">
        <v>40</v>
      </c>
      <c r="K14" s="84"/>
      <c r="L14" s="83" t="s">
        <v>26</v>
      </c>
      <c r="M14" s="83" t="s">
        <v>88</v>
      </c>
      <c r="N14" s="85">
        <v>45891</v>
      </c>
      <c r="O14" s="86" t="s">
        <v>10</v>
      </c>
      <c r="P14" s="85" t="s">
        <v>0</v>
      </c>
      <c r="Q14" s="91">
        <v>814533261</v>
      </c>
      <c r="R14" s="87"/>
      <c r="S14" s="30"/>
      <c r="T14" s="29"/>
      <c r="U14" s="29"/>
      <c r="V14" s="29"/>
      <c r="W14" s="29"/>
      <c r="X14" s="29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M14" s="23" t="e">
        <f t="array" ref="AM14">INDEX('BDFIP2526 (2)'!$N$9:$N$1229,SMALL(IF($AO$6='BDFIP2526 (2)'!$D$9:$D$1229,ROW('BDFIP2526 (2)'!$D$9:$D$1229)-MIN(ROW($D$9))+1,""),3))</f>
        <v>#NUM!</v>
      </c>
      <c r="AN14" s="1" t="e">
        <f t="array" ref="AN14">INDEX('BDFIP2526 (2)'!#REF!,SMALL(IF($AO$6='BDFIP2526 (2)'!$D$9:$D$1229,ROW('BDFIP2526 (2)'!$D$9:$D$1229)-MIN(ROW($D$9))+1,""),3))</f>
        <v>#REF!</v>
      </c>
      <c r="AO14" s="41" t="e">
        <f t="array" ref="AO14">INDEX(#REF!,SMALL(IF($AO$6='BDFIP2526 (2)'!$D$9:$D$1229,ROW('BDFIP2526 (2)'!$D$9:$D$1229)-MIN(ROW($D$9))+1,""),3))</f>
        <v>#REF!</v>
      </c>
      <c r="AQ14" s="1">
        <v>9</v>
      </c>
      <c r="AS14" s="40" t="str">
        <f t="array" ref="AS14">IFERROR(INDEX('BDFIP2526 (2)'!$G$9:$G$1229,SMALL(IF($AO$6='BDFIP2526 (2)'!$D$9:$D$1229,ROW('BDFIP2526 (2)'!$D$9:$D$1229)-MIN(ROW($D$9))+1,""),ROWS(AS$12:AS14))),"")</f>
        <v/>
      </c>
      <c r="AT14" s="40" t="str">
        <f t="array" ref="AT14">IFERROR(INDEX('BDFIP2526 (2)'!$F$9:$F$1229,SMALL(IF($AO$6='BDFIP2526 (2)'!$D$9:$D$1229,ROW('BDFIP2526 (2)'!$D$9:$D$1229)-MIN(ROW($D$9))+1,""),ROWS(AT$12:AT14))),"")</f>
        <v/>
      </c>
      <c r="AU14" s="39" t="str">
        <f t="array" ref="AU14">IFERROR(INDEX('BDFIP2526 (2)'!$N$9:$N$1229,SMALL(IF($AO$6='BDFIP2526 (2)'!$D$9:$D$1229,ROW('BDFIP2526 (2)'!$D$9:$D$1229)-MIN(ROW($D$9))+1,""),ROWS(AU$12:AU14))),"")</f>
        <v/>
      </c>
      <c r="AV14" s="38" t="str">
        <f t="array" ref="AV14">IFERROR(INDEX('BDFIP2526 (2)'!$M$9:$M$1229,SMALL(IF($AO$6='BDFIP2526 (2)'!$D$9:$D$1229,ROW('BDFIP2526 (2)'!$D$9:$D$1229)-MIN(ROW($D$9))+1,""),ROWS(AV$12:AV14))),"")</f>
        <v/>
      </c>
      <c r="AW14" s="37" t="str">
        <f t="array" ref="AW14">IFERROR(INDEX('BDFIP2526 (2)'!$E$9:$E$1229,SMALL(IF($AO$6='BDFIP2526 (2)'!$D$9:$D$1229,ROW('BDFIP2526 (2)'!$D$9:$D$1229)-MIN(ROW($D$9))+1,""),ROWS(AW$12:AW14))),"")</f>
        <v/>
      </c>
      <c r="AX14" s="36" t="str">
        <f t="array" ref="AX14">IFERROR(INDEX('BDFIP2526 (2)'!#REF!,SMALL(IF($AO$6='BDFIP2526 (2)'!$D$9:$D$1229,ROW('BDFIP2526 (2)'!$D$9:$D$1229)-MIN(ROW($D$9))+1,""),ROWS(AX$12:AX14))),"")</f>
        <v/>
      </c>
      <c r="AY14" s="35" t="str">
        <f t="array" ref="AY14">IFERROR(INDEX('BDFIP2526 (2)'!$J$9:$J$1229,SMALL(IF($AO$6='BDFIP2526 (2)'!$D$9:$D$1229,ROW('BDFIP2526 (2)'!$D$9:$D$1229)-MIN(ROW($D$9))+1,""),ROWS(AY$12:AY14))),"")</f>
        <v/>
      </c>
      <c r="AZ14" s="34" t="str">
        <f t="array" ref="AZ14">IFERROR(INDEX('BDFIP2526 (2)'!$K$9:$K$1229,SMALL(IF($AO$6='BDFIP2526 (2)'!$D$9:$D$1229,ROW('BDFIP2526 (2)'!$D$9:$D$1229)-MIN(ROW($D$9))+1,""),ROWS(AZ$12:AZ14))),"")</f>
        <v/>
      </c>
      <c r="BA14" s="33" t="str">
        <f t="array" ref="BA14">IFERROR(INDEX(#REF!,SMALL(IF($AO$6='BDFIP2526 (2)'!$D$9:$D$1229,ROW('BDFIP2526 (2)'!$D$9:$D$1229)-MIN(ROW($D$9))+1,""),ROWS(BA$12:BA14))),"")</f>
        <v/>
      </c>
    </row>
    <row r="15" spans="2:53" ht="16.2" x14ac:dyDescent="0.3">
      <c r="B15" s="80">
        <v>7</v>
      </c>
      <c r="C15" s="84" t="s">
        <v>817</v>
      </c>
      <c r="D15" s="82" t="s">
        <v>816</v>
      </c>
      <c r="E15" s="83">
        <v>6511</v>
      </c>
      <c r="F15" s="83" t="s">
        <v>16</v>
      </c>
      <c r="G15" s="83" t="s">
        <v>146</v>
      </c>
      <c r="H15" s="83" t="s">
        <v>14</v>
      </c>
      <c r="I15" s="83" t="s">
        <v>809</v>
      </c>
      <c r="J15" s="83">
        <v>55</v>
      </c>
      <c r="K15" s="84"/>
      <c r="L15" s="83" t="s">
        <v>12</v>
      </c>
      <c r="M15" s="83" t="s">
        <v>49</v>
      </c>
      <c r="N15" s="85">
        <v>45895</v>
      </c>
      <c r="O15" s="86" t="s">
        <v>10</v>
      </c>
      <c r="P15" s="85" t="s">
        <v>20</v>
      </c>
      <c r="Q15" s="91" t="s">
        <v>815</v>
      </c>
      <c r="R15" s="87"/>
      <c r="S15" s="30"/>
      <c r="T15" s="29"/>
      <c r="U15" s="29"/>
      <c r="V15" s="29"/>
      <c r="W15" s="29"/>
      <c r="X15" s="29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M15" s="1" t="e">
        <f t="array" ref="AM15">INDEX('BDFIP2526 (2)'!$N$9:$N$1229,SMALL(IF(AO10='BDFIP2526 (2)'!$D$9:$D$1229,ROW('BDFIP2526 (2)'!$D$9:$D$1229)-MIN(ROW($D$9))+1,""),10))</f>
        <v>#NUM!</v>
      </c>
      <c r="AQ15" s="1">
        <v>3</v>
      </c>
      <c r="AS15" s="40" t="str">
        <f t="array" ref="AS15">IFERROR(INDEX('BDFIP2526 (2)'!$G$9:$G$1229,SMALL(IF($AO$6='BDFIP2526 (2)'!$D$9:$D$1229,ROW('BDFIP2526 (2)'!$D$9:$D$1229)-MIN(ROW($D$9))+1,""),ROWS(AS$12:AS15))),"")</f>
        <v/>
      </c>
      <c r="AT15" s="40" t="str">
        <f t="array" ref="AT15">IFERROR(INDEX('BDFIP2526 (2)'!$F$9:$F$1229,SMALL(IF($AO$6='BDFIP2526 (2)'!$D$9:$D$1229,ROW('BDFIP2526 (2)'!$D$9:$D$1229)-MIN(ROW($D$9))+1,""),ROWS(AT$12:AT15))),"")</f>
        <v/>
      </c>
      <c r="AU15" s="39" t="str">
        <f t="array" ref="AU15">IFERROR(INDEX('BDFIP2526 (2)'!$N$9:$N$1229,SMALL(IF($AO$6='BDFIP2526 (2)'!$D$9:$D$1229,ROW('BDFIP2526 (2)'!$D$9:$D$1229)-MIN(ROW($D$9))+1,""),ROWS(AU$12:AU15))),"")</f>
        <v/>
      </c>
      <c r="AV15" s="38" t="str">
        <f t="array" ref="AV15">IFERROR(INDEX('BDFIP2526 (2)'!$M$9:$M$1229,SMALL(IF($AO$6='BDFIP2526 (2)'!$D$9:$D$1229,ROW('BDFIP2526 (2)'!$D$9:$D$1229)-MIN(ROW($D$9))+1,""),ROWS(AV$12:AV15))),"")</f>
        <v/>
      </c>
      <c r="AW15" s="37" t="str">
        <f t="array" ref="AW15">IFERROR(INDEX('BDFIP2526 (2)'!$E$9:$E$1229,SMALL(IF($AO$6='BDFIP2526 (2)'!$D$9:$D$1229,ROW('BDFIP2526 (2)'!$D$9:$D$1229)-MIN(ROW($D$9))+1,""),ROWS(AW$12:AW15))),"")</f>
        <v/>
      </c>
      <c r="AX15" s="36" t="str">
        <f t="array" ref="AX15">IFERROR(INDEX('BDFIP2526 (2)'!#REF!,SMALL(IF($AO$6='BDFIP2526 (2)'!$D$9:$D$1229,ROW('BDFIP2526 (2)'!$D$9:$D$1229)-MIN(ROW($D$9))+1,""),ROWS(AX$12:AX15))),"")</f>
        <v/>
      </c>
      <c r="AY15" s="35" t="str">
        <f t="array" ref="AY15">IFERROR(INDEX('BDFIP2526 (2)'!$J$9:$J$1229,SMALL(IF($AO$6='BDFIP2526 (2)'!$D$9:$D$1229,ROW('BDFIP2526 (2)'!$D$9:$D$1229)-MIN(ROW($D$9))+1,""),ROWS(AY$12:AY15))),"")</f>
        <v/>
      </c>
      <c r="AZ15" s="34" t="str">
        <f t="array" ref="AZ15">IFERROR(INDEX('BDFIP2526 (2)'!$K$9:$K$1229,SMALL(IF($AO$6='BDFIP2526 (2)'!$D$9:$D$1229,ROW('BDFIP2526 (2)'!$D$9:$D$1229)-MIN(ROW($D$9))+1,""),ROWS(AZ$12:AZ15))),"")</f>
        <v/>
      </c>
      <c r="BA15" s="33" t="str">
        <f t="array" ref="BA15">IFERROR(INDEX(#REF!,SMALL(IF($AO$6='BDFIP2526 (2)'!$D$9:$D$1229,ROW('BDFIP2526 (2)'!$D$9:$D$1229)-MIN(ROW($D$9))+1,""),ROWS(BA$12:BA15))),"")</f>
        <v/>
      </c>
    </row>
    <row r="16" spans="2:53" ht="16.2" x14ac:dyDescent="0.3">
      <c r="B16" s="80">
        <v>8</v>
      </c>
      <c r="C16" s="84" t="s">
        <v>814</v>
      </c>
      <c r="D16" s="82" t="s">
        <v>813</v>
      </c>
      <c r="E16" s="83">
        <v>6512</v>
      </c>
      <c r="F16" s="83" t="s">
        <v>16</v>
      </c>
      <c r="G16" s="83" t="s">
        <v>37</v>
      </c>
      <c r="H16" s="83" t="s">
        <v>14</v>
      </c>
      <c r="I16" s="83" t="s">
        <v>809</v>
      </c>
      <c r="J16" s="83">
        <v>45</v>
      </c>
      <c r="K16" s="84"/>
      <c r="L16" s="83" t="s">
        <v>12</v>
      </c>
      <c r="M16" s="83" t="s">
        <v>88</v>
      </c>
      <c r="N16" s="85">
        <v>45898</v>
      </c>
      <c r="O16" s="86" t="s">
        <v>10</v>
      </c>
      <c r="P16" s="85" t="s">
        <v>20</v>
      </c>
      <c r="Q16" s="91" t="s">
        <v>812</v>
      </c>
      <c r="R16" s="87"/>
      <c r="S16" s="30"/>
      <c r="T16" s="29"/>
      <c r="U16" s="29"/>
      <c r="V16" s="29"/>
      <c r="W16" s="29"/>
      <c r="X16" s="29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Q16" s="1">
        <v>1</v>
      </c>
      <c r="AS16" s="40" t="str">
        <f t="array" ref="AS16">IFERROR(INDEX('BDFIP2526 (2)'!$G$9:$G$1229,SMALL(IF($AO$6='BDFIP2526 (2)'!$D$9:$D$1229,ROW('BDFIP2526 (2)'!$D$9:$D$1229)-MIN(ROW($D$9))+1,""),ROWS(AS$12:AS16))),"")</f>
        <v/>
      </c>
      <c r="AT16" s="40" t="str">
        <f t="array" ref="AT16">IFERROR(INDEX('BDFIP2526 (2)'!$F$9:$F$1229,SMALL(IF($AO$6='BDFIP2526 (2)'!$D$9:$D$1229,ROW('BDFIP2526 (2)'!$D$9:$D$1229)-MIN(ROW($D$9))+1,""),ROWS(AT$12:AT16))),"")</f>
        <v/>
      </c>
      <c r="AU16" s="39" t="str">
        <f t="array" ref="AU16">IFERROR(INDEX('BDFIP2526 (2)'!$N$9:$N$1229,SMALL(IF($AO$6='BDFIP2526 (2)'!$D$9:$D$1229,ROW('BDFIP2526 (2)'!$D$9:$D$1229)-MIN(ROW($D$9))+1,""),ROWS(AU$12:AU16))),"")</f>
        <v/>
      </c>
      <c r="AV16" s="38" t="str">
        <f t="array" ref="AV16">IFERROR(INDEX('BDFIP2526 (2)'!$M$9:$M$1229,SMALL(IF($AO$6='BDFIP2526 (2)'!$D$9:$D$1229,ROW('BDFIP2526 (2)'!$D$9:$D$1229)-MIN(ROW($D$9))+1,""),ROWS(AV$12:AV16))),"")</f>
        <v/>
      </c>
      <c r="AW16" s="37" t="str">
        <f t="array" ref="AW16">IFERROR(INDEX('BDFIP2526 (2)'!$E$9:$E$1229,SMALL(IF($AO$6='BDFIP2526 (2)'!$D$9:$D$1229,ROW('BDFIP2526 (2)'!$D$9:$D$1229)-MIN(ROW($D$9))+1,""),ROWS(AW$12:AW16))),"")</f>
        <v/>
      </c>
      <c r="AX16" s="36" t="str">
        <f t="array" ref="AX16">IFERROR(INDEX('BDFIP2526 (2)'!#REF!,SMALL(IF($AO$6='BDFIP2526 (2)'!$D$9:$D$1229,ROW('BDFIP2526 (2)'!$D$9:$D$1229)-MIN(ROW($D$9))+1,""),ROWS(AX$12:AX16))),"")</f>
        <v/>
      </c>
      <c r="AY16" s="35" t="str">
        <f t="array" ref="AY16">IFERROR(INDEX('BDFIP2526 (2)'!$J$9:$J$1229,SMALL(IF($AO$6='BDFIP2526 (2)'!$D$9:$D$1229,ROW('BDFIP2526 (2)'!$D$9:$D$1229)-MIN(ROW($D$9))+1,""),ROWS(AY$12:AY16))),"")</f>
        <v/>
      </c>
      <c r="AZ16" s="34" t="str">
        <f t="array" ref="AZ16">IFERROR(INDEX('BDFIP2526 (2)'!$K$9:$K$1229,SMALL(IF($AO$6='BDFIP2526 (2)'!$D$9:$D$1229,ROW('BDFIP2526 (2)'!$D$9:$D$1229)-MIN(ROW($D$9))+1,""),ROWS(AZ$12:AZ16))),"")</f>
        <v/>
      </c>
      <c r="BA16" s="33" t="str">
        <f t="array" ref="BA16">IFERROR(INDEX(#REF!,SMALL(IF($AO$6='BDFIP2526 (2)'!$D$9:$D$1229,ROW('BDFIP2526 (2)'!$D$9:$D$1229)-MIN(ROW($D$9))+1,""),ROWS(BA$12:BA16))),"")</f>
        <v/>
      </c>
    </row>
    <row r="17" spans="2:53" ht="16.2" x14ac:dyDescent="0.3">
      <c r="B17" s="80">
        <v>9</v>
      </c>
      <c r="C17" s="84" t="s">
        <v>811</v>
      </c>
      <c r="D17" s="82" t="s">
        <v>810</v>
      </c>
      <c r="E17" s="83">
        <v>6517</v>
      </c>
      <c r="F17" s="83" t="s">
        <v>16</v>
      </c>
      <c r="G17" s="83" t="s">
        <v>375</v>
      </c>
      <c r="H17" s="83" t="s">
        <v>14</v>
      </c>
      <c r="I17" s="83" t="s">
        <v>809</v>
      </c>
      <c r="J17" s="83">
        <v>45</v>
      </c>
      <c r="K17" s="84"/>
      <c r="L17" s="83" t="s">
        <v>26</v>
      </c>
      <c r="M17" s="83" t="s">
        <v>88</v>
      </c>
      <c r="N17" s="85">
        <v>45898</v>
      </c>
      <c r="O17" s="86" t="s">
        <v>10</v>
      </c>
      <c r="P17" s="85" t="s">
        <v>20</v>
      </c>
      <c r="Q17" s="91">
        <v>977415665</v>
      </c>
      <c r="R17" s="87"/>
      <c r="S17" s="30"/>
      <c r="T17" s="29"/>
      <c r="U17" s="29"/>
      <c r="V17" s="29"/>
      <c r="W17" s="29"/>
      <c r="X17" s="29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O17" s="42">
        <f>SMALL($AQ$11:$AQ$16,1)</f>
        <v>0</v>
      </c>
      <c r="AS17" s="40" t="str">
        <f t="array" ref="AS17">IFERROR(INDEX('BDFIP2526 (2)'!$G$9:$G$1229,SMALL(IF($AO$6='BDFIP2526 (2)'!$D$9:$D$1229,ROW('BDFIP2526 (2)'!$D$9:$D$1229)-MIN(ROW($D$9))+1,""),ROWS(AS$12:AS17))),"")</f>
        <v/>
      </c>
      <c r="AT17" s="40" t="str">
        <f t="array" ref="AT17">IFERROR(INDEX('BDFIP2526 (2)'!$F$9:$F$1229,SMALL(IF($AO$6='BDFIP2526 (2)'!$D$9:$D$1229,ROW('BDFIP2526 (2)'!$D$9:$D$1229)-MIN(ROW($D$9))+1,""),ROWS(AT$12:AT17))),"")</f>
        <v/>
      </c>
      <c r="AU17" s="39" t="str">
        <f t="array" ref="AU17">IFERROR(INDEX('BDFIP2526 (2)'!$N$9:$N$1229,SMALL(IF($AO$6='BDFIP2526 (2)'!$D$9:$D$1229,ROW('BDFIP2526 (2)'!$D$9:$D$1229)-MIN(ROW($D$9))+1,""),ROWS(AU$12:AU17))),"")</f>
        <v/>
      </c>
      <c r="AV17" s="38" t="str">
        <f t="array" ref="AV17">IFERROR(INDEX('BDFIP2526 (2)'!$M$9:$M$1229,SMALL(IF($AO$6='BDFIP2526 (2)'!$D$9:$D$1229,ROW('BDFIP2526 (2)'!$D$9:$D$1229)-MIN(ROW($D$9))+1,""),ROWS(AV$12:AV17))),"")</f>
        <v/>
      </c>
      <c r="AW17" s="37" t="str">
        <f t="array" ref="AW17">IFERROR(INDEX('BDFIP2526 (2)'!$E$9:$E$1229,SMALL(IF($AO$6='BDFIP2526 (2)'!$D$9:$D$1229,ROW('BDFIP2526 (2)'!$D$9:$D$1229)-MIN(ROW($D$9))+1,""),ROWS(AW$12:AW17))),"")</f>
        <v/>
      </c>
      <c r="AX17" s="36" t="str">
        <f t="array" ref="AX17">IFERROR(INDEX('BDFIP2526 (2)'!#REF!,SMALL(IF($AO$6='BDFIP2526 (2)'!$D$9:$D$1229,ROW('BDFIP2526 (2)'!$D$9:$D$1229)-MIN(ROW($D$9))+1,""),ROWS(AX$12:AX17))),"")</f>
        <v/>
      </c>
      <c r="AY17" s="35" t="str">
        <f t="array" ref="AY17">IFERROR(INDEX('BDFIP2526 (2)'!$J$9:$J$1229,SMALL(IF($AO$6='BDFIP2526 (2)'!$D$9:$D$1229,ROW('BDFIP2526 (2)'!$D$9:$D$1229)-MIN(ROW($D$9))+1,""),ROWS(AY$12:AY17))),"")</f>
        <v/>
      </c>
      <c r="AZ17" s="34" t="str">
        <f t="array" ref="AZ17">IFERROR(INDEX('BDFIP2526 (2)'!$K$9:$K$1229,SMALL(IF($AO$6='BDFIP2526 (2)'!$D$9:$D$1229,ROW('BDFIP2526 (2)'!$D$9:$D$1229)-MIN(ROW($D$9))+1,""),ROWS(AZ$12:AZ17))),"")</f>
        <v/>
      </c>
      <c r="BA17" s="33" t="str">
        <f t="array" ref="BA17">IFERROR(INDEX(#REF!,SMALL(IF($AO$6='BDFIP2526 (2)'!$D$9:$D$1229,ROW('BDFIP2526 (2)'!$D$9:$D$1229)-MIN(ROW($D$9))+1,""),ROWS(BA$12:BA17))),"")</f>
        <v/>
      </c>
    </row>
    <row r="18" spans="2:53" ht="16.2" x14ac:dyDescent="0.3">
      <c r="B18" s="80">
        <v>10</v>
      </c>
      <c r="C18" s="96" t="s">
        <v>716</v>
      </c>
      <c r="D18" s="82" t="s">
        <v>715</v>
      </c>
      <c r="E18" s="83">
        <v>6515</v>
      </c>
      <c r="F18" s="84" t="s">
        <v>28</v>
      </c>
      <c r="G18" s="84" t="s">
        <v>22</v>
      </c>
      <c r="H18" s="84" t="s">
        <v>14</v>
      </c>
      <c r="I18" s="84" t="s">
        <v>809</v>
      </c>
      <c r="J18" s="84">
        <v>25</v>
      </c>
      <c r="K18" s="84"/>
      <c r="L18" s="84" t="s">
        <v>26</v>
      </c>
      <c r="M18" s="84" t="s">
        <v>88</v>
      </c>
      <c r="N18" s="85">
        <v>45898</v>
      </c>
      <c r="O18" s="86" t="s">
        <v>10</v>
      </c>
      <c r="P18" s="97" t="s">
        <v>20</v>
      </c>
      <c r="Q18" s="91">
        <v>832970855</v>
      </c>
      <c r="R18" s="91"/>
      <c r="S18" s="30"/>
      <c r="T18" s="29"/>
      <c r="U18" s="29"/>
      <c r="V18" s="29"/>
      <c r="W18" s="29"/>
      <c r="X18" s="29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O18" s="1">
        <f>SMALL($AQ$11:$AQ$16,5)</f>
        <v>6</v>
      </c>
      <c r="AS18" s="40" t="str">
        <f t="array" ref="AS18">IFERROR(INDEX('BDFIP2526 (2)'!$G$9:$G$1229,SMALL(IF($AO$6='BDFIP2526 (2)'!$D$9:$D$1229,ROW('BDFIP2526 (2)'!$D$9:$D$1229)-MIN(ROW($D$9))+1,""),ROWS(AS$12:AS18))),"")</f>
        <v/>
      </c>
      <c r="AT18" s="40" t="str">
        <f t="array" ref="AT18">IFERROR(INDEX('BDFIP2526 (2)'!$F$9:$F$1229,SMALL(IF($AO$6='BDFIP2526 (2)'!$D$9:$D$1229,ROW('BDFIP2526 (2)'!$D$9:$D$1229)-MIN(ROW($D$9))+1,""),ROWS(AT$12:AT18))),"")</f>
        <v/>
      </c>
      <c r="AU18" s="39" t="str">
        <f t="array" ref="AU18">IFERROR(INDEX('BDFIP2526 (2)'!$N$9:$N$1229,SMALL(IF($AO$6='BDFIP2526 (2)'!$D$9:$D$1229,ROW('BDFIP2526 (2)'!$D$9:$D$1229)-MIN(ROW($D$9))+1,""),ROWS(AU$12:AU18))),"")</f>
        <v/>
      </c>
      <c r="AV18" s="38" t="str">
        <f t="array" ref="AV18">IFERROR(INDEX('BDFIP2526 (2)'!$M$9:$M$1229,SMALL(IF($AO$6='BDFIP2526 (2)'!$D$9:$D$1229,ROW('BDFIP2526 (2)'!$D$9:$D$1229)-MIN(ROW($D$9))+1,""),ROWS(AV$12:AV18))),"")</f>
        <v/>
      </c>
      <c r="AW18" s="37" t="str">
        <f t="array" ref="AW18">IFERROR(INDEX('BDFIP2526 (2)'!$E$9:$E$1229,SMALL(IF($AO$6='BDFIP2526 (2)'!$D$9:$D$1229,ROW('BDFIP2526 (2)'!$D$9:$D$1229)-MIN(ROW($D$9))+1,""),ROWS(AW$12:AW18))),"")</f>
        <v/>
      </c>
      <c r="AX18" s="36" t="str">
        <f t="array" ref="AX18">IFERROR(INDEX('BDFIP2526 (2)'!#REF!,SMALL(IF($AO$6='BDFIP2526 (2)'!$D$9:$D$1229,ROW('BDFIP2526 (2)'!$D$9:$D$1229)-MIN(ROW($D$9))+1,""),ROWS(AX$12:AX18))),"")</f>
        <v/>
      </c>
      <c r="AY18" s="35" t="str">
        <f t="array" ref="AY18">IFERROR(INDEX('BDFIP2526 (2)'!$J$9:$J$1229,SMALL(IF($AO$6='BDFIP2526 (2)'!$D$9:$D$1229,ROW('BDFIP2526 (2)'!$D$9:$D$1229)-MIN(ROW($D$9))+1,""),ROWS(AY$12:AY18))),"")</f>
        <v/>
      </c>
      <c r="AZ18" s="34" t="str">
        <f t="array" ref="AZ18">IFERROR(INDEX('BDFIP2526 (2)'!$K$9:$K$1229,SMALL(IF($AO$6='BDFIP2526 (2)'!$D$9:$D$1229,ROW('BDFIP2526 (2)'!$D$9:$D$1229)-MIN(ROW($D$9))+1,""),ROWS(AZ$12:AZ18))),"")</f>
        <v/>
      </c>
      <c r="BA18" s="33" t="str">
        <f t="array" ref="BA18">IFERROR(INDEX(#REF!,SMALL(IF($AO$6='BDFIP2526 (2)'!$D$9:$D$1229,ROW('BDFIP2526 (2)'!$D$9:$D$1229)-MIN(ROW($D$9))+1,""),ROWS(BA$12:BA18))),"")</f>
        <v/>
      </c>
    </row>
    <row r="19" spans="2:53" ht="16.2" x14ac:dyDescent="0.3">
      <c r="B19" s="80">
        <v>11</v>
      </c>
      <c r="C19" s="81" t="s">
        <v>808</v>
      </c>
      <c r="D19" s="82" t="s">
        <v>807</v>
      </c>
      <c r="E19" s="98">
        <v>6518</v>
      </c>
      <c r="F19" s="84" t="s">
        <v>28</v>
      </c>
      <c r="G19" s="84" t="s">
        <v>37</v>
      </c>
      <c r="H19" s="84" t="s">
        <v>14</v>
      </c>
      <c r="I19" s="84" t="s">
        <v>19</v>
      </c>
      <c r="J19" s="84"/>
      <c r="K19" s="84"/>
      <c r="L19" s="84" t="s">
        <v>26</v>
      </c>
      <c r="M19" s="84" t="s">
        <v>88</v>
      </c>
      <c r="N19" s="85">
        <v>45898</v>
      </c>
      <c r="O19" s="86" t="s">
        <v>10</v>
      </c>
      <c r="P19" s="97" t="s">
        <v>20</v>
      </c>
      <c r="Q19" s="91">
        <v>977415665</v>
      </c>
      <c r="R19" s="91"/>
      <c r="S19" s="30"/>
      <c r="T19" s="29"/>
      <c r="U19" s="29"/>
      <c r="V19" s="29"/>
      <c r="W19" s="29"/>
      <c r="X19" s="29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O19" s="1">
        <f>SMALL($AQ$11:$AQ$16,3)</f>
        <v>2</v>
      </c>
      <c r="AS19" s="40" t="str">
        <f t="array" ref="AS19">IFERROR(INDEX('BDFIP2526 (2)'!$G$9:$G$1229,SMALL(IF($AO$6='BDFIP2526 (2)'!$D$9:$D$1229,ROW('BDFIP2526 (2)'!$D$9:$D$1229)-MIN(ROW($D$9))+1,""),ROWS(AS$12:AS19))),"")</f>
        <v/>
      </c>
      <c r="AT19" s="40" t="str">
        <f t="array" ref="AT19">IFERROR(INDEX('BDFIP2526 (2)'!$F$9:$F$1229,SMALL(IF($AO$6='BDFIP2526 (2)'!$D$9:$D$1229,ROW('BDFIP2526 (2)'!$D$9:$D$1229)-MIN(ROW($D$9))+1,""),ROWS(AT$12:AT19))),"")</f>
        <v/>
      </c>
      <c r="AU19" s="39" t="str">
        <f t="array" ref="AU19">IFERROR(INDEX('BDFIP2526 (2)'!$N$9:$N$1229,SMALL(IF($AO$6='BDFIP2526 (2)'!$D$9:$D$1229,ROW('BDFIP2526 (2)'!$D$9:$D$1229)-MIN(ROW($D$9))+1,""),ROWS(AU$12:AU19))),"")</f>
        <v/>
      </c>
      <c r="AV19" s="38" t="str">
        <f t="array" ref="AV19">IFERROR(INDEX('BDFIP2526 (2)'!$M$9:$M$1229,SMALL(IF($AO$6='BDFIP2526 (2)'!$D$9:$D$1229,ROW('BDFIP2526 (2)'!$D$9:$D$1229)-MIN(ROW($D$9))+1,""),ROWS(AV$12:AV19))),"")</f>
        <v/>
      </c>
      <c r="AW19" s="37" t="str">
        <f t="array" ref="AW19">IFERROR(INDEX('BDFIP2526 (2)'!$E$9:$E$1229,SMALL(IF($AO$6='BDFIP2526 (2)'!$D$9:$D$1229,ROW('BDFIP2526 (2)'!$D$9:$D$1229)-MIN(ROW($D$9))+1,""),ROWS(AW$12:AW19))),"")</f>
        <v/>
      </c>
      <c r="AX19" s="36" t="str">
        <f t="array" ref="AX19">IFERROR(INDEX('BDFIP2526 (2)'!#REF!,SMALL(IF($AO$6='BDFIP2526 (2)'!$D$9:$D$1229,ROW('BDFIP2526 (2)'!$D$9:$D$1229)-MIN(ROW($D$9))+1,""),ROWS(AX$12:AX19))),"")</f>
        <v/>
      </c>
      <c r="AY19" s="35" t="str">
        <f t="array" ref="AY19">IFERROR(INDEX('BDFIP2526 (2)'!$J$9:$J$1229,SMALL(IF($AO$6='BDFIP2526 (2)'!$D$9:$D$1229,ROW('BDFIP2526 (2)'!$D$9:$D$1229)-MIN(ROW($D$9))+1,""),ROWS(AY$12:AY19))),"")</f>
        <v/>
      </c>
      <c r="AZ19" s="34" t="str">
        <f t="array" ref="AZ19">IFERROR(INDEX('BDFIP2526 (2)'!$K$9:$K$1229,SMALL(IF($AO$6='BDFIP2526 (2)'!$D$9:$D$1229,ROW('BDFIP2526 (2)'!$D$9:$D$1229)-MIN(ROW($D$9))+1,""),ROWS(AZ$12:AZ19))),"")</f>
        <v/>
      </c>
      <c r="BA19" s="33" t="str">
        <f t="array" ref="BA19">IFERROR(INDEX(#REF!,SMALL(IF($AO$6='BDFIP2526 (2)'!$D$9:$D$1229,ROW('BDFIP2526 (2)'!$D$9:$D$1229)-MIN(ROW($D$9))+1,""),ROWS(BA$12:BA19))),"")</f>
        <v/>
      </c>
    </row>
    <row r="20" spans="2:53" ht="16.2" x14ac:dyDescent="0.3">
      <c r="B20" s="80">
        <v>12</v>
      </c>
      <c r="C20" s="84" t="s">
        <v>806</v>
      </c>
      <c r="D20" s="82" t="s">
        <v>805</v>
      </c>
      <c r="E20" s="83">
        <v>6166</v>
      </c>
      <c r="F20" s="83" t="s">
        <v>16</v>
      </c>
      <c r="G20" s="83" t="s">
        <v>80</v>
      </c>
      <c r="H20" s="83" t="s">
        <v>14</v>
      </c>
      <c r="I20" s="83" t="s">
        <v>804</v>
      </c>
      <c r="J20" s="83">
        <v>17.5</v>
      </c>
      <c r="K20" s="84"/>
      <c r="L20" s="83" t="s">
        <v>26</v>
      </c>
      <c r="M20" s="99" t="s">
        <v>88</v>
      </c>
      <c r="N20" s="88">
        <v>45905</v>
      </c>
      <c r="O20" s="89" t="s">
        <v>10</v>
      </c>
      <c r="P20" s="88" t="s">
        <v>9</v>
      </c>
      <c r="Q20" s="90"/>
      <c r="R20" s="90"/>
      <c r="S20" s="30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</row>
    <row r="21" spans="2:53" ht="16.2" x14ac:dyDescent="0.3">
      <c r="B21" s="80">
        <v>13</v>
      </c>
      <c r="C21" s="84" t="s">
        <v>803</v>
      </c>
      <c r="D21" s="82" t="s">
        <v>802</v>
      </c>
      <c r="E21" s="83">
        <v>6163</v>
      </c>
      <c r="F21" s="83" t="s">
        <v>28</v>
      </c>
      <c r="G21" s="83" t="s">
        <v>15</v>
      </c>
      <c r="H21" s="83" t="s">
        <v>14</v>
      </c>
      <c r="I21" s="83" t="s">
        <v>801</v>
      </c>
      <c r="J21" s="83">
        <v>35</v>
      </c>
      <c r="K21" s="84"/>
      <c r="L21" s="83" t="s">
        <v>26</v>
      </c>
      <c r="M21" s="99" t="s">
        <v>88</v>
      </c>
      <c r="N21" s="88">
        <v>45905</v>
      </c>
      <c r="O21" s="89" t="s">
        <v>10</v>
      </c>
      <c r="P21" s="88" t="s">
        <v>9</v>
      </c>
      <c r="Q21" s="90"/>
      <c r="R21" s="90"/>
      <c r="S21" s="30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M21" s="32"/>
      <c r="AO21" s="31"/>
    </row>
    <row r="22" spans="2:53" ht="16.2" x14ac:dyDescent="0.3">
      <c r="B22" s="80">
        <v>14</v>
      </c>
      <c r="C22" s="84" t="s">
        <v>800</v>
      </c>
      <c r="D22" s="82" t="s">
        <v>799</v>
      </c>
      <c r="E22" s="83">
        <v>6605</v>
      </c>
      <c r="F22" s="83" t="s">
        <v>28</v>
      </c>
      <c r="G22" s="84" t="s">
        <v>375</v>
      </c>
      <c r="H22" s="83" t="s">
        <v>14</v>
      </c>
      <c r="I22" s="83" t="s">
        <v>19</v>
      </c>
      <c r="J22" s="83">
        <v>45</v>
      </c>
      <c r="K22" s="84"/>
      <c r="L22" s="83" t="s">
        <v>26</v>
      </c>
      <c r="M22" s="83" t="s">
        <v>11</v>
      </c>
      <c r="N22" s="85">
        <v>45931</v>
      </c>
      <c r="O22" s="86" t="s">
        <v>10</v>
      </c>
      <c r="P22" s="85" t="s">
        <v>20</v>
      </c>
      <c r="Q22" s="87"/>
      <c r="R22" s="87"/>
      <c r="S22" s="30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</row>
    <row r="23" spans="2:53" ht="16.2" x14ac:dyDescent="0.3">
      <c r="B23" s="80">
        <v>15</v>
      </c>
      <c r="C23" s="84" t="s">
        <v>798</v>
      </c>
      <c r="D23" s="82" t="s">
        <v>797</v>
      </c>
      <c r="E23" s="83">
        <v>6606</v>
      </c>
      <c r="F23" s="83" t="s">
        <v>16</v>
      </c>
      <c r="G23" s="83" t="s">
        <v>113</v>
      </c>
      <c r="H23" s="83" t="s">
        <v>14</v>
      </c>
      <c r="I23" s="83" t="s">
        <v>103</v>
      </c>
      <c r="J23" s="83">
        <v>25</v>
      </c>
      <c r="K23" s="84"/>
      <c r="L23" s="83" t="s">
        <v>12</v>
      </c>
      <c r="M23" s="83" t="s">
        <v>11</v>
      </c>
      <c r="N23" s="85">
        <v>45931</v>
      </c>
      <c r="O23" s="86" t="s">
        <v>10</v>
      </c>
      <c r="P23" s="85" t="s">
        <v>20</v>
      </c>
      <c r="Q23" s="87" t="s">
        <v>796</v>
      </c>
      <c r="R23" s="87"/>
      <c r="S23" s="30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</row>
    <row r="24" spans="2:53" ht="16.2" x14ac:dyDescent="0.3">
      <c r="B24" s="80">
        <v>16</v>
      </c>
      <c r="C24" s="84" t="s">
        <v>795</v>
      </c>
      <c r="D24" s="82" t="s">
        <v>794</v>
      </c>
      <c r="E24" s="83">
        <v>6607</v>
      </c>
      <c r="F24" s="83" t="s">
        <v>28</v>
      </c>
      <c r="G24" s="83" t="s">
        <v>40</v>
      </c>
      <c r="H24" s="83" t="s">
        <v>14</v>
      </c>
      <c r="I24" s="83" t="s">
        <v>19</v>
      </c>
      <c r="J24" s="83">
        <v>40</v>
      </c>
      <c r="K24" s="84"/>
      <c r="L24" s="83" t="s">
        <v>26</v>
      </c>
      <c r="M24" s="83" t="s">
        <v>11</v>
      </c>
      <c r="N24" s="85">
        <v>45931</v>
      </c>
      <c r="O24" s="86" t="s">
        <v>10</v>
      </c>
      <c r="P24" s="85" t="s">
        <v>0</v>
      </c>
      <c r="Q24" s="91">
        <v>993573914</v>
      </c>
      <c r="R24" s="87"/>
      <c r="S24" s="30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</row>
    <row r="25" spans="2:53" ht="16.5" customHeight="1" x14ac:dyDescent="0.3">
      <c r="B25" s="80">
        <v>17</v>
      </c>
      <c r="C25" s="84" t="s">
        <v>793</v>
      </c>
      <c r="D25" s="82" t="s">
        <v>792</v>
      </c>
      <c r="E25" s="83">
        <v>6608</v>
      </c>
      <c r="F25" s="83" t="s">
        <v>16</v>
      </c>
      <c r="G25" s="83" t="s">
        <v>46</v>
      </c>
      <c r="H25" s="83" t="s">
        <v>14</v>
      </c>
      <c r="I25" s="83" t="s">
        <v>19</v>
      </c>
      <c r="J25" s="83">
        <v>40</v>
      </c>
      <c r="K25" s="84"/>
      <c r="L25" s="83" t="s">
        <v>26</v>
      </c>
      <c r="M25" s="83" t="s">
        <v>11</v>
      </c>
      <c r="N25" s="85">
        <v>45931</v>
      </c>
      <c r="O25" s="86" t="s">
        <v>10</v>
      </c>
      <c r="P25" s="85" t="s">
        <v>0</v>
      </c>
      <c r="Q25" s="91">
        <v>992347717</v>
      </c>
      <c r="R25" s="87"/>
      <c r="S25" s="30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2:53" ht="15" customHeight="1" x14ac:dyDescent="0.3">
      <c r="B26" s="80">
        <v>18</v>
      </c>
      <c r="C26" s="84" t="s">
        <v>791</v>
      </c>
      <c r="D26" s="82" t="s">
        <v>790</v>
      </c>
      <c r="E26" s="83">
        <v>6609</v>
      </c>
      <c r="F26" s="83" t="s">
        <v>28</v>
      </c>
      <c r="G26" s="83" t="s">
        <v>80</v>
      </c>
      <c r="H26" s="83" t="s">
        <v>14</v>
      </c>
      <c r="I26" s="83" t="s">
        <v>103</v>
      </c>
      <c r="J26" s="83">
        <v>20</v>
      </c>
      <c r="K26" s="84"/>
      <c r="L26" s="83" t="s">
        <v>26</v>
      </c>
      <c r="M26" s="83" t="s">
        <v>11</v>
      </c>
      <c r="N26" s="85">
        <v>45931</v>
      </c>
      <c r="O26" s="86" t="s">
        <v>10</v>
      </c>
      <c r="P26" s="85" t="s">
        <v>9</v>
      </c>
      <c r="Q26" s="91">
        <v>990095123</v>
      </c>
      <c r="R26" s="87"/>
      <c r="S26" s="30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2:53" ht="15" customHeight="1" x14ac:dyDescent="0.3">
      <c r="B27" s="80">
        <v>19</v>
      </c>
      <c r="C27" s="84" t="s">
        <v>791</v>
      </c>
      <c r="D27" s="82" t="s">
        <v>790</v>
      </c>
      <c r="E27" s="83">
        <v>6610</v>
      </c>
      <c r="F27" s="83" t="s">
        <v>28</v>
      </c>
      <c r="G27" s="83" t="s">
        <v>80</v>
      </c>
      <c r="H27" s="83" t="s">
        <v>14</v>
      </c>
      <c r="I27" s="83" t="s">
        <v>13</v>
      </c>
      <c r="J27" s="83">
        <v>40</v>
      </c>
      <c r="K27" s="84"/>
      <c r="L27" s="83" t="s">
        <v>26</v>
      </c>
      <c r="M27" s="83" t="s">
        <v>11</v>
      </c>
      <c r="N27" s="85">
        <v>45931</v>
      </c>
      <c r="O27" s="86" t="s">
        <v>10</v>
      </c>
      <c r="P27" s="85" t="s">
        <v>9</v>
      </c>
      <c r="Q27" s="91">
        <v>990095123</v>
      </c>
      <c r="R27" s="87"/>
      <c r="S27" s="30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</row>
    <row r="28" spans="2:53" ht="16.2" x14ac:dyDescent="0.3">
      <c r="B28" s="80">
        <v>20</v>
      </c>
      <c r="C28" s="84" t="s">
        <v>791</v>
      </c>
      <c r="D28" s="82" t="s">
        <v>790</v>
      </c>
      <c r="E28" s="83">
        <v>6611</v>
      </c>
      <c r="F28" s="83" t="s">
        <v>28</v>
      </c>
      <c r="G28" s="83" t="s">
        <v>80</v>
      </c>
      <c r="H28" s="83" t="s">
        <v>14</v>
      </c>
      <c r="I28" s="84" t="s">
        <v>21</v>
      </c>
      <c r="J28" s="83">
        <v>40</v>
      </c>
      <c r="K28" s="84"/>
      <c r="L28" s="83" t="s">
        <v>26</v>
      </c>
      <c r="M28" s="83" t="s">
        <v>11</v>
      </c>
      <c r="N28" s="85">
        <v>45931</v>
      </c>
      <c r="O28" s="86" t="s">
        <v>10</v>
      </c>
      <c r="P28" s="85" t="s">
        <v>9</v>
      </c>
      <c r="Q28" s="91">
        <v>990095123</v>
      </c>
      <c r="R28" s="87"/>
      <c r="S28" s="30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</row>
    <row r="29" spans="2:53" ht="16.2" x14ac:dyDescent="0.3">
      <c r="B29" s="80">
        <v>21</v>
      </c>
      <c r="C29" s="84" t="s">
        <v>789</v>
      </c>
      <c r="D29" s="82" t="s">
        <v>788</v>
      </c>
      <c r="E29" s="83">
        <v>6615</v>
      </c>
      <c r="F29" s="83" t="s">
        <v>28</v>
      </c>
      <c r="G29" s="83" t="s">
        <v>201</v>
      </c>
      <c r="H29" s="83" t="s">
        <v>14</v>
      </c>
      <c r="I29" s="83" t="s">
        <v>13</v>
      </c>
      <c r="J29" s="83">
        <v>40</v>
      </c>
      <c r="K29" s="84"/>
      <c r="L29" s="83" t="s">
        <v>26</v>
      </c>
      <c r="M29" s="83" t="s">
        <v>11</v>
      </c>
      <c r="N29" s="85">
        <v>45931</v>
      </c>
      <c r="O29" s="86" t="s">
        <v>10</v>
      </c>
      <c r="P29" s="85" t="s">
        <v>9</v>
      </c>
      <c r="Q29" s="91">
        <v>810174897</v>
      </c>
      <c r="R29" s="87"/>
      <c r="S29" s="30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</row>
    <row r="30" spans="2:53" ht="16.2" x14ac:dyDescent="0.3">
      <c r="B30" s="80">
        <v>22</v>
      </c>
      <c r="C30" s="84" t="s">
        <v>789</v>
      </c>
      <c r="D30" s="82" t="s">
        <v>788</v>
      </c>
      <c r="E30" s="83">
        <v>6616</v>
      </c>
      <c r="F30" s="83" t="s">
        <v>28</v>
      </c>
      <c r="G30" s="83" t="s">
        <v>201</v>
      </c>
      <c r="H30" s="83" t="s">
        <v>14</v>
      </c>
      <c r="I30" s="83" t="s">
        <v>21</v>
      </c>
      <c r="J30" s="83">
        <v>40</v>
      </c>
      <c r="K30" s="84"/>
      <c r="L30" s="83" t="s">
        <v>26</v>
      </c>
      <c r="M30" s="83" t="s">
        <v>11</v>
      </c>
      <c r="N30" s="85">
        <v>45931</v>
      </c>
      <c r="O30" s="86" t="s">
        <v>10</v>
      </c>
      <c r="P30" s="85" t="s">
        <v>9</v>
      </c>
      <c r="Q30" s="91">
        <v>810174897</v>
      </c>
      <c r="R30" s="87"/>
      <c r="S30" s="30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</row>
    <row r="31" spans="2:53" ht="16.2" x14ac:dyDescent="0.3">
      <c r="B31" s="80">
        <v>23</v>
      </c>
      <c r="C31" s="84" t="s">
        <v>787</v>
      </c>
      <c r="D31" s="82" t="s">
        <v>786</v>
      </c>
      <c r="E31" s="83">
        <v>6617</v>
      </c>
      <c r="F31" s="83" t="s">
        <v>16</v>
      </c>
      <c r="G31" s="83" t="s">
        <v>40</v>
      </c>
      <c r="H31" s="83" t="s">
        <v>14</v>
      </c>
      <c r="I31" s="83" t="s">
        <v>13</v>
      </c>
      <c r="J31" s="83">
        <v>40</v>
      </c>
      <c r="K31" s="84"/>
      <c r="L31" s="83" t="s">
        <v>26</v>
      </c>
      <c r="M31" s="83" t="s">
        <v>11</v>
      </c>
      <c r="N31" s="85">
        <v>45931</v>
      </c>
      <c r="O31" s="86" t="s">
        <v>10</v>
      </c>
      <c r="P31" s="85" t="s">
        <v>0</v>
      </c>
      <c r="Q31" s="91">
        <v>810174897</v>
      </c>
      <c r="R31" s="87"/>
      <c r="S31" s="30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</row>
    <row r="32" spans="2:53" ht="16.2" x14ac:dyDescent="0.3">
      <c r="B32" s="80">
        <v>24</v>
      </c>
      <c r="C32" s="84" t="s">
        <v>787</v>
      </c>
      <c r="D32" s="82" t="s">
        <v>786</v>
      </c>
      <c r="E32" s="83">
        <v>6618</v>
      </c>
      <c r="F32" s="83" t="s">
        <v>16</v>
      </c>
      <c r="G32" s="83" t="s">
        <v>40</v>
      </c>
      <c r="H32" s="83" t="s">
        <v>14</v>
      </c>
      <c r="I32" s="83" t="s">
        <v>785</v>
      </c>
      <c r="J32" s="83">
        <v>10</v>
      </c>
      <c r="K32" s="84"/>
      <c r="L32" s="83" t="s">
        <v>26</v>
      </c>
      <c r="M32" s="83" t="s">
        <v>11</v>
      </c>
      <c r="N32" s="85">
        <v>45931</v>
      </c>
      <c r="O32" s="86" t="s">
        <v>10</v>
      </c>
      <c r="P32" s="85" t="s">
        <v>0</v>
      </c>
      <c r="Q32" s="91">
        <v>810174897</v>
      </c>
      <c r="R32" s="87"/>
      <c r="S32" s="30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</row>
    <row r="33" spans="2:37" ht="16.2" x14ac:dyDescent="0.3">
      <c r="B33" s="80">
        <v>25</v>
      </c>
      <c r="C33" s="84" t="s">
        <v>784</v>
      </c>
      <c r="D33" s="82" t="s">
        <v>783</v>
      </c>
      <c r="E33" s="83">
        <v>6619</v>
      </c>
      <c r="F33" s="83" t="s">
        <v>28</v>
      </c>
      <c r="G33" s="83" t="s">
        <v>77</v>
      </c>
      <c r="H33" s="83" t="s">
        <v>14</v>
      </c>
      <c r="I33" s="83" t="s">
        <v>19</v>
      </c>
      <c r="J33" s="83">
        <v>40</v>
      </c>
      <c r="K33" s="84"/>
      <c r="L33" s="83" t="s">
        <v>26</v>
      </c>
      <c r="M33" s="83" t="s">
        <v>11</v>
      </c>
      <c r="N33" s="85">
        <v>45931</v>
      </c>
      <c r="O33" s="86" t="s">
        <v>10</v>
      </c>
      <c r="P33" s="85" t="s">
        <v>0</v>
      </c>
      <c r="Q33" s="87" t="s">
        <v>782</v>
      </c>
      <c r="R33" s="87"/>
      <c r="S33" s="30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</row>
    <row r="34" spans="2:37" ht="16.2" x14ac:dyDescent="0.3">
      <c r="B34" s="80">
        <v>26</v>
      </c>
      <c r="C34" s="84" t="s">
        <v>781</v>
      </c>
      <c r="D34" s="82" t="s">
        <v>780</v>
      </c>
      <c r="E34" s="83">
        <v>6620</v>
      </c>
      <c r="F34" s="83" t="s">
        <v>28</v>
      </c>
      <c r="G34" s="83" t="s">
        <v>133</v>
      </c>
      <c r="H34" s="83" t="s">
        <v>14</v>
      </c>
      <c r="I34" s="83" t="s">
        <v>19</v>
      </c>
      <c r="J34" s="83">
        <v>40</v>
      </c>
      <c r="K34" s="84"/>
      <c r="L34" s="83" t="s">
        <v>26</v>
      </c>
      <c r="M34" s="83" t="s">
        <v>11</v>
      </c>
      <c r="N34" s="85">
        <v>45931</v>
      </c>
      <c r="O34" s="86" t="s">
        <v>10</v>
      </c>
      <c r="P34" s="85" t="s">
        <v>9</v>
      </c>
      <c r="Q34" s="87"/>
      <c r="R34" s="87"/>
      <c r="S34" s="30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</row>
    <row r="35" spans="2:37" ht="16.2" x14ac:dyDescent="0.3">
      <c r="B35" s="80">
        <v>27</v>
      </c>
      <c r="C35" s="84" t="s">
        <v>779</v>
      </c>
      <c r="D35" s="82" t="s">
        <v>778</v>
      </c>
      <c r="E35" s="83">
        <v>6621</v>
      </c>
      <c r="F35" s="83" t="s">
        <v>28</v>
      </c>
      <c r="G35" s="83" t="s">
        <v>80</v>
      </c>
      <c r="H35" s="83" t="s">
        <v>14</v>
      </c>
      <c r="I35" s="83" t="s">
        <v>19</v>
      </c>
      <c r="J35" s="83">
        <v>40</v>
      </c>
      <c r="K35" s="84"/>
      <c r="L35" s="83" t="s">
        <v>26</v>
      </c>
      <c r="M35" s="83" t="s">
        <v>11</v>
      </c>
      <c r="N35" s="85">
        <v>45931</v>
      </c>
      <c r="O35" s="86" t="s">
        <v>10</v>
      </c>
      <c r="P35" s="85" t="s">
        <v>9</v>
      </c>
      <c r="Q35" s="87"/>
      <c r="R35" s="87"/>
      <c r="S35" s="30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</row>
    <row r="36" spans="2:37" ht="16.2" x14ac:dyDescent="0.3">
      <c r="B36" s="80">
        <v>28</v>
      </c>
      <c r="C36" s="84" t="s">
        <v>777</v>
      </c>
      <c r="D36" s="82" t="s">
        <v>776</v>
      </c>
      <c r="E36" s="83">
        <v>6623</v>
      </c>
      <c r="F36" s="83" t="s">
        <v>16</v>
      </c>
      <c r="G36" s="83" t="s">
        <v>46</v>
      </c>
      <c r="H36" s="83" t="s">
        <v>14</v>
      </c>
      <c r="I36" s="83" t="s">
        <v>19</v>
      </c>
      <c r="J36" s="83">
        <v>40</v>
      </c>
      <c r="K36" s="83"/>
      <c r="L36" s="83" t="s">
        <v>26</v>
      </c>
      <c r="M36" s="83" t="s">
        <v>11</v>
      </c>
      <c r="N36" s="85">
        <v>45931</v>
      </c>
      <c r="O36" s="86" t="s">
        <v>10</v>
      </c>
      <c r="P36" s="85" t="s">
        <v>0</v>
      </c>
      <c r="Q36" s="87"/>
      <c r="R36" s="87"/>
      <c r="S36" s="30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</row>
    <row r="37" spans="2:37" ht="16.2" x14ac:dyDescent="0.3">
      <c r="B37" s="80">
        <v>29</v>
      </c>
      <c r="C37" s="84" t="s">
        <v>775</v>
      </c>
      <c r="D37" s="82" t="s">
        <v>774</v>
      </c>
      <c r="E37" s="83">
        <v>6624</v>
      </c>
      <c r="F37" s="83" t="s">
        <v>16</v>
      </c>
      <c r="G37" s="83" t="s">
        <v>140</v>
      </c>
      <c r="H37" s="83" t="s">
        <v>14</v>
      </c>
      <c r="I37" s="83" t="s">
        <v>19</v>
      </c>
      <c r="J37" s="83">
        <v>55</v>
      </c>
      <c r="K37" s="84"/>
      <c r="L37" s="83" t="s">
        <v>26</v>
      </c>
      <c r="M37" s="83" t="s">
        <v>11</v>
      </c>
      <c r="N37" s="85">
        <v>45931</v>
      </c>
      <c r="O37" s="86" t="s">
        <v>10</v>
      </c>
      <c r="P37" s="85" t="s">
        <v>20</v>
      </c>
      <c r="Q37" s="91">
        <v>972432203</v>
      </c>
      <c r="R37" s="87"/>
      <c r="S37" s="30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</row>
    <row r="38" spans="2:37" ht="16.2" x14ac:dyDescent="0.3">
      <c r="B38" s="80">
        <v>30</v>
      </c>
      <c r="C38" s="84" t="s">
        <v>773</v>
      </c>
      <c r="D38" s="82" t="s">
        <v>772</v>
      </c>
      <c r="E38" s="83">
        <v>6625</v>
      </c>
      <c r="F38" s="83" t="s">
        <v>16</v>
      </c>
      <c r="G38" s="83" t="s">
        <v>201</v>
      </c>
      <c r="H38" s="83" t="s">
        <v>14</v>
      </c>
      <c r="I38" s="83" t="s">
        <v>19</v>
      </c>
      <c r="J38" s="83">
        <v>40</v>
      </c>
      <c r="K38" s="84"/>
      <c r="L38" s="83" t="s">
        <v>12</v>
      </c>
      <c r="M38" s="83" t="s">
        <v>11</v>
      </c>
      <c r="N38" s="85">
        <v>45931</v>
      </c>
      <c r="O38" s="86" t="s">
        <v>10</v>
      </c>
      <c r="P38" s="85" t="s">
        <v>9</v>
      </c>
      <c r="Q38" s="91" t="s">
        <v>771</v>
      </c>
      <c r="R38" s="87"/>
      <c r="S38" s="30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</row>
    <row r="39" spans="2:37" ht="16.2" x14ac:dyDescent="0.3">
      <c r="B39" s="80">
        <v>31</v>
      </c>
      <c r="C39" s="99" t="s">
        <v>770</v>
      </c>
      <c r="D39" s="82" t="s">
        <v>769</v>
      </c>
      <c r="E39" s="83">
        <v>6626</v>
      </c>
      <c r="F39" s="83" t="s">
        <v>28</v>
      </c>
      <c r="G39" s="83" t="s">
        <v>106</v>
      </c>
      <c r="H39" s="83" t="s">
        <v>14</v>
      </c>
      <c r="I39" s="83" t="s">
        <v>19</v>
      </c>
      <c r="J39" s="83">
        <v>80</v>
      </c>
      <c r="K39" s="84"/>
      <c r="L39" s="83" t="s">
        <v>12</v>
      </c>
      <c r="M39" s="83" t="s">
        <v>11</v>
      </c>
      <c r="N39" s="85">
        <v>45931</v>
      </c>
      <c r="O39" s="86" t="s">
        <v>25</v>
      </c>
      <c r="P39" s="85" t="s">
        <v>20</v>
      </c>
      <c r="Q39" s="91">
        <v>814001138</v>
      </c>
      <c r="R39" s="87"/>
      <c r="S39" s="30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</row>
    <row r="40" spans="2:37" ht="16.2" x14ac:dyDescent="0.3">
      <c r="B40" s="80">
        <v>32</v>
      </c>
      <c r="C40" s="84" t="s">
        <v>768</v>
      </c>
      <c r="D40" s="82" t="s">
        <v>764</v>
      </c>
      <c r="E40" s="83">
        <v>6627</v>
      </c>
      <c r="F40" s="83" t="s">
        <v>28</v>
      </c>
      <c r="G40" s="83" t="s">
        <v>201</v>
      </c>
      <c r="H40" s="83"/>
      <c r="I40" s="83" t="s">
        <v>19</v>
      </c>
      <c r="J40" s="83">
        <v>40</v>
      </c>
      <c r="K40" s="84"/>
      <c r="L40" s="83" t="s">
        <v>12</v>
      </c>
      <c r="M40" s="83" t="s">
        <v>11</v>
      </c>
      <c r="N40" s="85">
        <v>45931</v>
      </c>
      <c r="O40" s="86" t="s">
        <v>10</v>
      </c>
      <c r="P40" s="85" t="s">
        <v>9</v>
      </c>
      <c r="Q40" s="91"/>
      <c r="R40" s="87"/>
      <c r="S40" s="30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</row>
    <row r="41" spans="2:37" ht="16.2" x14ac:dyDescent="0.3">
      <c r="B41" s="80">
        <v>33</v>
      </c>
      <c r="C41" s="84" t="s">
        <v>767</v>
      </c>
      <c r="D41" s="82" t="s">
        <v>766</v>
      </c>
      <c r="E41" s="83">
        <v>6628</v>
      </c>
      <c r="F41" s="83" t="s">
        <v>28</v>
      </c>
      <c r="G41" s="83" t="s">
        <v>133</v>
      </c>
      <c r="H41" s="83" t="s">
        <v>14</v>
      </c>
      <c r="I41" s="83" t="s">
        <v>19</v>
      </c>
      <c r="J41" s="83">
        <v>40</v>
      </c>
      <c r="K41" s="84"/>
      <c r="L41" s="83" t="s">
        <v>12</v>
      </c>
      <c r="M41" s="83" t="s">
        <v>11</v>
      </c>
      <c r="N41" s="85">
        <v>45931</v>
      </c>
      <c r="O41" s="86" t="s">
        <v>10</v>
      </c>
      <c r="P41" s="85" t="s">
        <v>9</v>
      </c>
      <c r="Q41" s="91">
        <v>813002370</v>
      </c>
      <c r="R41" s="87"/>
      <c r="S41" s="30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</row>
    <row r="42" spans="2:37" ht="16.2" customHeight="1" x14ac:dyDescent="0.3">
      <c r="B42" s="80">
        <v>34</v>
      </c>
      <c r="C42" s="84" t="s">
        <v>765</v>
      </c>
      <c r="D42" s="82" t="s">
        <v>764</v>
      </c>
      <c r="E42" s="100">
        <v>6629</v>
      </c>
      <c r="F42" s="99" t="s">
        <v>16</v>
      </c>
      <c r="G42" s="84" t="s">
        <v>100</v>
      </c>
      <c r="H42" s="84" t="s">
        <v>14</v>
      </c>
      <c r="I42" s="84" t="s">
        <v>19</v>
      </c>
      <c r="J42" s="84">
        <v>55</v>
      </c>
      <c r="K42" s="84"/>
      <c r="L42" s="83" t="s">
        <v>12</v>
      </c>
      <c r="M42" s="99" t="s">
        <v>11</v>
      </c>
      <c r="N42" s="85">
        <v>45931</v>
      </c>
      <c r="O42" s="86" t="s">
        <v>10</v>
      </c>
      <c r="P42" s="85" t="s">
        <v>20</v>
      </c>
      <c r="Q42" s="91">
        <v>903180516</v>
      </c>
      <c r="R42" s="87"/>
      <c r="S42" s="30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</row>
    <row r="43" spans="2:37" ht="16.2" customHeight="1" x14ac:dyDescent="0.3">
      <c r="B43" s="80">
        <v>35</v>
      </c>
      <c r="C43" s="84" t="s">
        <v>763</v>
      </c>
      <c r="D43" s="82" t="s">
        <v>762</v>
      </c>
      <c r="E43" s="83">
        <v>6630</v>
      </c>
      <c r="F43" s="83" t="s">
        <v>28</v>
      </c>
      <c r="G43" s="83" t="s">
        <v>15</v>
      </c>
      <c r="H43" s="83" t="s">
        <v>14</v>
      </c>
      <c r="I43" s="83" t="s">
        <v>19</v>
      </c>
      <c r="J43" s="83">
        <v>40</v>
      </c>
      <c r="K43" s="84"/>
      <c r="L43" s="88" t="s">
        <v>12</v>
      </c>
      <c r="M43" s="83" t="s">
        <v>11</v>
      </c>
      <c r="N43" s="85">
        <v>45931</v>
      </c>
      <c r="O43" s="86" t="s">
        <v>10</v>
      </c>
      <c r="P43" s="85" t="s">
        <v>9</v>
      </c>
      <c r="Q43" s="91">
        <v>999159905</v>
      </c>
      <c r="R43" s="87"/>
      <c r="S43" s="30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</row>
    <row r="44" spans="2:37" ht="16.2" customHeight="1" x14ac:dyDescent="0.3">
      <c r="B44" s="80">
        <v>36</v>
      </c>
      <c r="C44" s="84" t="s">
        <v>761</v>
      </c>
      <c r="D44" s="82" t="s">
        <v>760</v>
      </c>
      <c r="E44" s="83">
        <v>6631</v>
      </c>
      <c r="F44" s="83" t="s">
        <v>28</v>
      </c>
      <c r="G44" s="83" t="s">
        <v>50</v>
      </c>
      <c r="H44" s="83" t="s">
        <v>14</v>
      </c>
      <c r="I44" s="83" t="s">
        <v>19</v>
      </c>
      <c r="J44" s="83">
        <v>40</v>
      </c>
      <c r="K44" s="84"/>
      <c r="L44" s="83" t="s">
        <v>12</v>
      </c>
      <c r="M44" s="83" t="s">
        <v>11</v>
      </c>
      <c r="N44" s="85">
        <v>45931</v>
      </c>
      <c r="O44" s="86" t="s">
        <v>10</v>
      </c>
      <c r="P44" s="85" t="s">
        <v>9</v>
      </c>
      <c r="Q44" s="91">
        <v>999159905</v>
      </c>
      <c r="R44" s="87"/>
      <c r="S44" s="30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</row>
    <row r="45" spans="2:37" ht="16.2" x14ac:dyDescent="0.3">
      <c r="B45" s="80">
        <v>37</v>
      </c>
      <c r="C45" s="84" t="s">
        <v>759</v>
      </c>
      <c r="D45" s="82" t="s">
        <v>758</v>
      </c>
      <c r="E45" s="83">
        <v>6632</v>
      </c>
      <c r="F45" s="83" t="s">
        <v>28</v>
      </c>
      <c r="G45" s="83" t="s">
        <v>46</v>
      </c>
      <c r="H45" s="83" t="s">
        <v>14</v>
      </c>
      <c r="I45" s="83" t="s">
        <v>19</v>
      </c>
      <c r="J45" s="83">
        <v>40</v>
      </c>
      <c r="K45" s="84"/>
      <c r="L45" s="83" t="s">
        <v>12</v>
      </c>
      <c r="M45" s="83" t="s">
        <v>11</v>
      </c>
      <c r="N45" s="85">
        <v>45931</v>
      </c>
      <c r="O45" s="86" t="s">
        <v>10</v>
      </c>
      <c r="P45" s="85" t="s">
        <v>0</v>
      </c>
      <c r="Q45" s="91">
        <v>999159905</v>
      </c>
      <c r="R45" s="87"/>
      <c r="S45" s="30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</row>
    <row r="46" spans="2:37" ht="16.2" x14ac:dyDescent="0.3">
      <c r="B46" s="80">
        <v>38</v>
      </c>
      <c r="C46" s="84" t="s">
        <v>757</v>
      </c>
      <c r="D46" s="82" t="s">
        <v>756</v>
      </c>
      <c r="E46" s="83">
        <v>6633</v>
      </c>
      <c r="F46" s="83" t="s">
        <v>16</v>
      </c>
      <c r="G46" s="83" t="s">
        <v>161</v>
      </c>
      <c r="H46" s="83" t="s">
        <v>14</v>
      </c>
      <c r="I46" s="83" t="s">
        <v>19</v>
      </c>
      <c r="J46" s="83">
        <v>80</v>
      </c>
      <c r="K46" s="84"/>
      <c r="L46" s="88" t="s">
        <v>26</v>
      </c>
      <c r="M46" s="83" t="s">
        <v>112</v>
      </c>
      <c r="N46" s="85">
        <v>45932</v>
      </c>
      <c r="O46" s="86" t="s">
        <v>25</v>
      </c>
      <c r="P46" s="85" t="s">
        <v>20</v>
      </c>
      <c r="Q46" s="91">
        <v>979340056</v>
      </c>
      <c r="R46" s="87"/>
      <c r="S46" s="30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</row>
    <row r="47" spans="2:37" ht="16.2" x14ac:dyDescent="0.3">
      <c r="B47" s="80">
        <v>39</v>
      </c>
      <c r="C47" s="84" t="s">
        <v>755</v>
      </c>
      <c r="D47" s="82" t="s">
        <v>754</v>
      </c>
      <c r="E47" s="83">
        <v>6634</v>
      </c>
      <c r="F47" s="83" t="s">
        <v>28</v>
      </c>
      <c r="G47" s="83" t="s">
        <v>22</v>
      </c>
      <c r="H47" s="83" t="s">
        <v>14</v>
      </c>
      <c r="I47" s="83" t="s">
        <v>19</v>
      </c>
      <c r="J47" s="83">
        <v>50</v>
      </c>
      <c r="K47" s="84"/>
      <c r="L47" s="83" t="s">
        <v>12</v>
      </c>
      <c r="M47" s="83" t="s">
        <v>112</v>
      </c>
      <c r="N47" s="85">
        <v>45932</v>
      </c>
      <c r="O47" s="86" t="s">
        <v>10</v>
      </c>
      <c r="P47" s="85" t="s">
        <v>20</v>
      </c>
      <c r="Q47" s="91">
        <v>852388881</v>
      </c>
      <c r="R47" s="87"/>
      <c r="S47" s="30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</row>
    <row r="48" spans="2:37" ht="16.2" x14ac:dyDescent="0.3">
      <c r="B48" s="80">
        <v>40</v>
      </c>
      <c r="C48" s="84" t="s">
        <v>753</v>
      </c>
      <c r="D48" s="82" t="s">
        <v>752</v>
      </c>
      <c r="E48" s="83">
        <v>6635</v>
      </c>
      <c r="F48" s="83" t="s">
        <v>16</v>
      </c>
      <c r="G48" s="83" t="s">
        <v>72</v>
      </c>
      <c r="H48" s="83" t="s">
        <v>14</v>
      </c>
      <c r="I48" s="83" t="s">
        <v>19</v>
      </c>
      <c r="J48" s="83">
        <v>55</v>
      </c>
      <c r="K48" s="84"/>
      <c r="L48" s="83" t="s">
        <v>12</v>
      </c>
      <c r="M48" s="83" t="s">
        <v>112</v>
      </c>
      <c r="N48" s="85">
        <v>45932</v>
      </c>
      <c r="O48" s="86" t="s">
        <v>25</v>
      </c>
      <c r="P48" s="85" t="s">
        <v>20</v>
      </c>
      <c r="Q48" s="91">
        <v>814618675</v>
      </c>
      <c r="R48" s="87"/>
      <c r="S48" s="30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</row>
    <row r="49" spans="2:37" ht="16.2" x14ac:dyDescent="0.3">
      <c r="B49" s="80">
        <v>41</v>
      </c>
      <c r="C49" s="84" t="s">
        <v>753</v>
      </c>
      <c r="D49" s="82" t="s">
        <v>752</v>
      </c>
      <c r="E49" s="83">
        <v>6636</v>
      </c>
      <c r="F49" s="83" t="s">
        <v>16</v>
      </c>
      <c r="G49" s="84" t="s">
        <v>72</v>
      </c>
      <c r="H49" s="83" t="s">
        <v>14</v>
      </c>
      <c r="I49" s="83" t="s">
        <v>281</v>
      </c>
      <c r="J49" s="83">
        <v>45</v>
      </c>
      <c r="K49" s="84"/>
      <c r="L49" s="83" t="s">
        <v>12</v>
      </c>
      <c r="M49" s="83" t="s">
        <v>112</v>
      </c>
      <c r="N49" s="85">
        <v>45932</v>
      </c>
      <c r="O49" s="86" t="s">
        <v>25</v>
      </c>
      <c r="P49" s="85" t="s">
        <v>20</v>
      </c>
      <c r="Q49" s="91">
        <v>814618675</v>
      </c>
      <c r="R49" s="87"/>
      <c r="S49" s="30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</row>
    <row r="50" spans="2:37" ht="16.2" customHeight="1" x14ac:dyDescent="0.3">
      <c r="B50" s="80">
        <v>42</v>
      </c>
      <c r="C50" s="84" t="s">
        <v>751</v>
      </c>
      <c r="D50" s="82" t="s">
        <v>750</v>
      </c>
      <c r="E50" s="83">
        <v>6637</v>
      </c>
      <c r="F50" s="83" t="s">
        <v>16</v>
      </c>
      <c r="G50" s="83" t="s">
        <v>164</v>
      </c>
      <c r="H50" s="83" t="s">
        <v>14</v>
      </c>
      <c r="I50" s="83" t="s">
        <v>19</v>
      </c>
      <c r="J50" s="83">
        <v>80</v>
      </c>
      <c r="K50" s="84"/>
      <c r="L50" s="83" t="s">
        <v>12</v>
      </c>
      <c r="M50" s="83" t="s">
        <v>112</v>
      </c>
      <c r="N50" s="85">
        <v>45932</v>
      </c>
      <c r="O50" s="86" t="s">
        <v>25</v>
      </c>
      <c r="P50" s="85" t="s">
        <v>20</v>
      </c>
      <c r="Q50" s="91">
        <v>993693635</v>
      </c>
      <c r="R50" s="87"/>
      <c r="S50" s="30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</row>
    <row r="51" spans="2:37" ht="16.2" customHeight="1" x14ac:dyDescent="0.3">
      <c r="B51" s="80">
        <v>43</v>
      </c>
      <c r="C51" s="84" t="s">
        <v>749</v>
      </c>
      <c r="D51" s="82" t="s">
        <v>748</v>
      </c>
      <c r="E51" s="83">
        <v>6641</v>
      </c>
      <c r="F51" s="83" t="s">
        <v>16</v>
      </c>
      <c r="G51" s="83" t="s">
        <v>31</v>
      </c>
      <c r="H51" s="83" t="s">
        <v>14</v>
      </c>
      <c r="I51" s="83" t="s">
        <v>56</v>
      </c>
      <c r="J51" s="83">
        <v>35.08</v>
      </c>
      <c r="K51" s="84"/>
      <c r="L51" s="83" t="s">
        <v>12</v>
      </c>
      <c r="M51" s="83" t="s">
        <v>112</v>
      </c>
      <c r="N51" s="85">
        <v>45932</v>
      </c>
      <c r="O51" s="86" t="s">
        <v>25</v>
      </c>
      <c r="P51" s="85" t="s">
        <v>20</v>
      </c>
      <c r="Q51" s="91">
        <v>999820231</v>
      </c>
      <c r="R51" s="87"/>
      <c r="S51" s="30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</row>
    <row r="52" spans="2:37" ht="16.2" customHeight="1" x14ac:dyDescent="0.3">
      <c r="B52" s="80">
        <v>44</v>
      </c>
      <c r="C52" s="84" t="s">
        <v>747</v>
      </c>
      <c r="D52" s="82" t="s">
        <v>746</v>
      </c>
      <c r="E52" s="83">
        <v>6640</v>
      </c>
      <c r="F52" s="83" t="s">
        <v>16</v>
      </c>
      <c r="G52" s="83" t="s">
        <v>34</v>
      </c>
      <c r="H52" s="83" t="s">
        <v>14</v>
      </c>
      <c r="I52" s="83" t="s">
        <v>19</v>
      </c>
      <c r="J52" s="83">
        <v>55</v>
      </c>
      <c r="K52" s="84"/>
      <c r="L52" s="83" t="s">
        <v>26</v>
      </c>
      <c r="M52" s="83" t="s">
        <v>112</v>
      </c>
      <c r="N52" s="85">
        <v>45932</v>
      </c>
      <c r="O52" s="86" t="s">
        <v>10</v>
      </c>
      <c r="P52" s="85" t="s">
        <v>20</v>
      </c>
      <c r="Q52" s="91">
        <v>892771212</v>
      </c>
      <c r="R52" s="87"/>
      <c r="S52" s="30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</row>
    <row r="53" spans="2:37" ht="16.2" x14ac:dyDescent="0.3">
      <c r="B53" s="80">
        <v>45</v>
      </c>
      <c r="C53" s="84" t="s">
        <v>745</v>
      </c>
      <c r="D53" s="82" t="s">
        <v>744</v>
      </c>
      <c r="E53" s="83">
        <v>6643</v>
      </c>
      <c r="F53" s="83" t="s">
        <v>16</v>
      </c>
      <c r="G53" s="84" t="s">
        <v>237</v>
      </c>
      <c r="H53" s="83" t="s">
        <v>14</v>
      </c>
      <c r="I53" s="83" t="s">
        <v>19</v>
      </c>
      <c r="J53" s="83">
        <v>55</v>
      </c>
      <c r="K53" s="84"/>
      <c r="L53" s="83" t="s">
        <v>12</v>
      </c>
      <c r="M53" s="83" t="s">
        <v>112</v>
      </c>
      <c r="N53" s="85">
        <v>45932</v>
      </c>
      <c r="O53" s="86" t="s">
        <v>10</v>
      </c>
      <c r="P53" s="85" t="s">
        <v>20</v>
      </c>
      <c r="Q53" s="91">
        <v>990268855</v>
      </c>
      <c r="R53" s="87"/>
      <c r="S53" s="30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</row>
    <row r="54" spans="2:37" ht="16.2" x14ac:dyDescent="0.3">
      <c r="B54" s="80">
        <v>46</v>
      </c>
      <c r="C54" s="84" t="s">
        <v>743</v>
      </c>
      <c r="D54" s="82" t="s">
        <v>742</v>
      </c>
      <c r="E54" s="83">
        <v>6644</v>
      </c>
      <c r="F54" s="83" t="s">
        <v>16</v>
      </c>
      <c r="G54" s="83" t="s">
        <v>37</v>
      </c>
      <c r="H54" s="83" t="s">
        <v>14</v>
      </c>
      <c r="I54" s="83" t="s">
        <v>19</v>
      </c>
      <c r="J54" s="83">
        <v>45</v>
      </c>
      <c r="K54" s="84"/>
      <c r="L54" s="83" t="s">
        <v>26</v>
      </c>
      <c r="M54" s="83" t="s">
        <v>112</v>
      </c>
      <c r="N54" s="85">
        <v>45932</v>
      </c>
      <c r="O54" s="86" t="s">
        <v>10</v>
      </c>
      <c r="P54" s="85" t="s">
        <v>20</v>
      </c>
      <c r="Q54" s="91"/>
      <c r="R54" s="87"/>
      <c r="S54" s="30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</row>
    <row r="55" spans="2:37" ht="16.2" x14ac:dyDescent="0.3">
      <c r="B55" s="80">
        <v>47</v>
      </c>
      <c r="C55" s="84" t="s">
        <v>741</v>
      </c>
      <c r="D55" s="82" t="s">
        <v>740</v>
      </c>
      <c r="E55" s="83">
        <v>6645</v>
      </c>
      <c r="F55" s="83" t="s">
        <v>16</v>
      </c>
      <c r="G55" s="83" t="s">
        <v>83</v>
      </c>
      <c r="H55" s="83" t="s">
        <v>14</v>
      </c>
      <c r="I55" s="83" t="s">
        <v>19</v>
      </c>
      <c r="J55" s="83">
        <v>40</v>
      </c>
      <c r="K55" s="84"/>
      <c r="L55" s="83" t="s">
        <v>26</v>
      </c>
      <c r="M55" s="83" t="s">
        <v>112</v>
      </c>
      <c r="N55" s="85">
        <v>45932</v>
      </c>
      <c r="O55" s="86" t="s">
        <v>10</v>
      </c>
      <c r="P55" s="85" t="s">
        <v>9</v>
      </c>
      <c r="Q55" s="91">
        <v>853419627</v>
      </c>
      <c r="R55" s="87"/>
      <c r="S55" s="30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</row>
    <row r="56" spans="2:37" ht="16.2" x14ac:dyDescent="0.3">
      <c r="B56" s="80">
        <v>48</v>
      </c>
      <c r="C56" s="84" t="s">
        <v>739</v>
      </c>
      <c r="D56" s="82" t="s">
        <v>738</v>
      </c>
      <c r="E56" s="83">
        <v>6646</v>
      </c>
      <c r="F56" s="83" t="s">
        <v>16</v>
      </c>
      <c r="G56" s="83" t="s">
        <v>133</v>
      </c>
      <c r="H56" s="83" t="s">
        <v>14</v>
      </c>
      <c r="I56" s="83" t="s">
        <v>19</v>
      </c>
      <c r="J56" s="83">
        <v>40</v>
      </c>
      <c r="K56" s="84"/>
      <c r="L56" s="83" t="s">
        <v>26</v>
      </c>
      <c r="M56" s="83" t="s">
        <v>112</v>
      </c>
      <c r="N56" s="85">
        <v>45932</v>
      </c>
      <c r="O56" s="86" t="s">
        <v>10</v>
      </c>
      <c r="P56" s="85" t="s">
        <v>9</v>
      </c>
      <c r="Q56" s="91">
        <v>853419627</v>
      </c>
      <c r="R56" s="87"/>
      <c r="S56" s="30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</row>
    <row r="57" spans="2:37" ht="16.2" x14ac:dyDescent="0.3">
      <c r="B57" s="80">
        <v>49</v>
      </c>
      <c r="C57" s="84" t="s">
        <v>737</v>
      </c>
      <c r="D57" s="82" t="s">
        <v>736</v>
      </c>
      <c r="E57" s="83">
        <v>6647</v>
      </c>
      <c r="F57" s="83" t="s">
        <v>16</v>
      </c>
      <c r="G57" s="83" t="s">
        <v>22</v>
      </c>
      <c r="H57" s="83" t="s">
        <v>14</v>
      </c>
      <c r="I57" s="83" t="s">
        <v>13</v>
      </c>
      <c r="J57" s="83">
        <v>40</v>
      </c>
      <c r="K57" s="84"/>
      <c r="L57" s="83" t="s">
        <v>12</v>
      </c>
      <c r="M57" s="83" t="s">
        <v>112</v>
      </c>
      <c r="N57" s="85">
        <v>45932</v>
      </c>
      <c r="O57" s="86" t="s">
        <v>10</v>
      </c>
      <c r="P57" s="85" t="s">
        <v>20</v>
      </c>
      <c r="Q57" s="91">
        <v>897397461</v>
      </c>
      <c r="R57" s="87"/>
      <c r="S57" s="30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</row>
    <row r="58" spans="2:37" ht="16.2" x14ac:dyDescent="0.3">
      <c r="B58" s="80">
        <v>50</v>
      </c>
      <c r="C58" s="84" t="s">
        <v>735</v>
      </c>
      <c r="D58" s="82" t="s">
        <v>734</v>
      </c>
      <c r="E58" s="83">
        <v>6648</v>
      </c>
      <c r="F58" s="83" t="s">
        <v>16</v>
      </c>
      <c r="G58" s="83" t="s">
        <v>22</v>
      </c>
      <c r="H58" s="83" t="s">
        <v>14</v>
      </c>
      <c r="I58" s="83" t="s">
        <v>13</v>
      </c>
      <c r="J58" s="83">
        <v>35</v>
      </c>
      <c r="K58" s="84"/>
      <c r="L58" s="83" t="s">
        <v>12</v>
      </c>
      <c r="M58" s="83" t="s">
        <v>112</v>
      </c>
      <c r="N58" s="85">
        <v>45932</v>
      </c>
      <c r="O58" s="86" t="s">
        <v>10</v>
      </c>
      <c r="P58" s="85" t="s">
        <v>20</v>
      </c>
      <c r="Q58" s="91">
        <v>897397461</v>
      </c>
      <c r="R58" s="87"/>
      <c r="S58" s="30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</row>
    <row r="59" spans="2:37" ht="16.2" x14ac:dyDescent="0.3">
      <c r="B59" s="80">
        <v>51</v>
      </c>
      <c r="C59" s="81" t="s">
        <v>733</v>
      </c>
      <c r="D59" s="82" t="s">
        <v>732</v>
      </c>
      <c r="E59" s="83">
        <v>6649</v>
      </c>
      <c r="F59" s="83" t="s">
        <v>28</v>
      </c>
      <c r="G59" s="83" t="s">
        <v>106</v>
      </c>
      <c r="H59" s="83" t="s">
        <v>14</v>
      </c>
      <c r="I59" s="83" t="s">
        <v>19</v>
      </c>
      <c r="J59" s="83">
        <v>60</v>
      </c>
      <c r="K59" s="84"/>
      <c r="L59" s="83" t="s">
        <v>12</v>
      </c>
      <c r="M59" s="83" t="s">
        <v>112</v>
      </c>
      <c r="N59" s="85">
        <v>45932</v>
      </c>
      <c r="O59" s="86" t="s">
        <v>25</v>
      </c>
      <c r="P59" s="85" t="s">
        <v>20</v>
      </c>
      <c r="Q59" s="91">
        <v>996977963</v>
      </c>
      <c r="R59" s="87"/>
      <c r="S59" s="30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</row>
    <row r="60" spans="2:37" ht="16.2" x14ac:dyDescent="0.3">
      <c r="B60" s="80">
        <v>52</v>
      </c>
      <c r="C60" s="81" t="s">
        <v>731</v>
      </c>
      <c r="D60" s="82" t="s">
        <v>730</v>
      </c>
      <c r="E60" s="83">
        <v>6650</v>
      </c>
      <c r="F60" s="83" t="s">
        <v>28</v>
      </c>
      <c r="G60" s="84" t="s">
        <v>22</v>
      </c>
      <c r="H60" s="83" t="s">
        <v>14</v>
      </c>
      <c r="I60" s="83" t="s">
        <v>19</v>
      </c>
      <c r="J60" s="83">
        <v>40</v>
      </c>
      <c r="K60" s="84"/>
      <c r="L60" s="83" t="s">
        <v>26</v>
      </c>
      <c r="M60" s="83" t="s">
        <v>112</v>
      </c>
      <c r="N60" s="85">
        <v>45932</v>
      </c>
      <c r="O60" s="86" t="s">
        <v>10</v>
      </c>
      <c r="P60" s="85" t="s">
        <v>20</v>
      </c>
      <c r="Q60" s="91">
        <v>996977963</v>
      </c>
      <c r="R60" s="87"/>
      <c r="S60" s="30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</row>
    <row r="61" spans="2:37" ht="16.2" x14ac:dyDescent="0.3">
      <c r="B61" s="80">
        <v>53</v>
      </c>
      <c r="C61" s="84" t="s">
        <v>729</v>
      </c>
      <c r="D61" s="82" t="s">
        <v>728</v>
      </c>
      <c r="E61" s="83">
        <v>6651</v>
      </c>
      <c r="F61" s="83" t="s">
        <v>28</v>
      </c>
      <c r="G61" s="83" t="s">
        <v>201</v>
      </c>
      <c r="H61" s="83" t="s">
        <v>14</v>
      </c>
      <c r="I61" s="83" t="s">
        <v>19</v>
      </c>
      <c r="J61" s="83">
        <v>40</v>
      </c>
      <c r="K61" s="84"/>
      <c r="L61" s="83" t="s">
        <v>12</v>
      </c>
      <c r="M61" s="83" t="s">
        <v>88</v>
      </c>
      <c r="N61" s="85">
        <v>45933</v>
      </c>
      <c r="O61" s="86" t="s">
        <v>10</v>
      </c>
      <c r="P61" s="85" t="s">
        <v>9</v>
      </c>
      <c r="Q61" s="91" t="s">
        <v>725</v>
      </c>
      <c r="R61" s="87"/>
      <c r="S61" s="30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</row>
    <row r="62" spans="2:37" ht="16.2" x14ac:dyDescent="0.3">
      <c r="B62" s="80">
        <v>54</v>
      </c>
      <c r="C62" s="84" t="s">
        <v>727</v>
      </c>
      <c r="D62" s="82" t="s">
        <v>726</v>
      </c>
      <c r="E62" s="83">
        <v>6652</v>
      </c>
      <c r="F62" s="83" t="s">
        <v>16</v>
      </c>
      <c r="G62" s="83" t="s">
        <v>237</v>
      </c>
      <c r="H62" s="83" t="s">
        <v>14</v>
      </c>
      <c r="I62" s="83" t="s">
        <v>19</v>
      </c>
      <c r="J62" s="83">
        <v>55</v>
      </c>
      <c r="K62" s="84"/>
      <c r="L62" s="83" t="s">
        <v>12</v>
      </c>
      <c r="M62" s="83" t="s">
        <v>88</v>
      </c>
      <c r="N62" s="85">
        <v>45933</v>
      </c>
      <c r="O62" s="86" t="s">
        <v>10</v>
      </c>
      <c r="P62" s="85" t="s">
        <v>20</v>
      </c>
      <c r="Q62" s="91" t="s">
        <v>725</v>
      </c>
      <c r="R62" s="87"/>
      <c r="S62" s="30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</row>
    <row r="63" spans="2:37" ht="16.2" x14ac:dyDescent="0.3">
      <c r="B63" s="80">
        <v>55</v>
      </c>
      <c r="C63" s="84" t="s">
        <v>724</v>
      </c>
      <c r="D63" s="82" t="s">
        <v>723</v>
      </c>
      <c r="E63" s="83">
        <v>6653</v>
      </c>
      <c r="F63" s="83" t="s">
        <v>16</v>
      </c>
      <c r="G63" s="84" t="s">
        <v>53</v>
      </c>
      <c r="H63" s="83" t="s">
        <v>14</v>
      </c>
      <c r="I63" s="83" t="s">
        <v>19</v>
      </c>
      <c r="J63" s="83">
        <v>45</v>
      </c>
      <c r="K63" s="84"/>
      <c r="L63" s="83" t="s">
        <v>12</v>
      </c>
      <c r="M63" s="83" t="s">
        <v>88</v>
      </c>
      <c r="N63" s="85">
        <v>45933</v>
      </c>
      <c r="O63" s="86" t="s">
        <v>10</v>
      </c>
      <c r="P63" s="85" t="s">
        <v>20</v>
      </c>
      <c r="Q63" s="91" t="s">
        <v>722</v>
      </c>
      <c r="R63" s="87"/>
      <c r="S63" s="30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</row>
    <row r="64" spans="2:37" ht="16.2" x14ac:dyDescent="0.3">
      <c r="B64" s="80">
        <v>56</v>
      </c>
      <c r="C64" s="84" t="s">
        <v>721</v>
      </c>
      <c r="D64" s="82" t="s">
        <v>720</v>
      </c>
      <c r="E64" s="83">
        <v>6654</v>
      </c>
      <c r="F64" s="83" t="s">
        <v>28</v>
      </c>
      <c r="G64" s="83" t="s">
        <v>37</v>
      </c>
      <c r="H64" s="83" t="s">
        <v>14</v>
      </c>
      <c r="I64" s="83" t="s">
        <v>19</v>
      </c>
      <c r="J64" s="83">
        <v>45</v>
      </c>
      <c r="K64" s="84"/>
      <c r="L64" s="83" t="s">
        <v>12</v>
      </c>
      <c r="M64" s="83" t="s">
        <v>88</v>
      </c>
      <c r="N64" s="85">
        <v>45933</v>
      </c>
      <c r="O64" s="86" t="s">
        <v>25</v>
      </c>
      <c r="P64" s="85" t="s">
        <v>20</v>
      </c>
      <c r="Q64" s="91" t="s">
        <v>719</v>
      </c>
      <c r="R64" s="87"/>
      <c r="S64" s="30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</row>
    <row r="65" spans="2:37" ht="16.2" x14ac:dyDescent="0.3">
      <c r="B65" s="80">
        <v>57</v>
      </c>
      <c r="C65" s="84" t="s">
        <v>718</v>
      </c>
      <c r="D65" s="82" t="s">
        <v>717</v>
      </c>
      <c r="E65" s="83">
        <v>6655</v>
      </c>
      <c r="F65" s="83" t="s">
        <v>28</v>
      </c>
      <c r="G65" s="83" t="s">
        <v>301</v>
      </c>
      <c r="H65" s="83" t="s">
        <v>14</v>
      </c>
      <c r="I65" s="83" t="s">
        <v>56</v>
      </c>
      <c r="J65" s="83">
        <v>70</v>
      </c>
      <c r="K65" s="84"/>
      <c r="L65" s="83" t="s">
        <v>12</v>
      </c>
      <c r="M65" s="83" t="s">
        <v>88</v>
      </c>
      <c r="N65" s="85">
        <v>45933</v>
      </c>
      <c r="O65" s="86" t="s">
        <v>25</v>
      </c>
      <c r="P65" s="85" t="s">
        <v>20</v>
      </c>
      <c r="Q65" s="91">
        <v>977239341</v>
      </c>
      <c r="R65" s="87"/>
      <c r="S65" s="30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</row>
    <row r="66" spans="2:37" ht="16.2" x14ac:dyDescent="0.3">
      <c r="B66" s="80">
        <v>58</v>
      </c>
      <c r="C66" s="84" t="s">
        <v>716</v>
      </c>
      <c r="D66" s="82" t="s">
        <v>715</v>
      </c>
      <c r="E66" s="83">
        <v>6656</v>
      </c>
      <c r="F66" s="83" t="s">
        <v>28</v>
      </c>
      <c r="G66" s="83" t="s">
        <v>22</v>
      </c>
      <c r="H66" s="83" t="s">
        <v>14</v>
      </c>
      <c r="I66" s="83" t="s">
        <v>103</v>
      </c>
      <c r="J66" s="83">
        <v>20</v>
      </c>
      <c r="K66" s="84"/>
      <c r="L66" s="83" t="s">
        <v>26</v>
      </c>
      <c r="M66" s="83" t="s">
        <v>88</v>
      </c>
      <c r="N66" s="85">
        <v>45933</v>
      </c>
      <c r="O66" s="86" t="s">
        <v>10</v>
      </c>
      <c r="P66" s="85" t="s">
        <v>20</v>
      </c>
      <c r="Q66" s="91">
        <v>832970855</v>
      </c>
      <c r="R66" s="87"/>
      <c r="S66" s="30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</row>
    <row r="67" spans="2:37" ht="16.2" x14ac:dyDescent="0.3">
      <c r="B67" s="80">
        <v>59</v>
      </c>
      <c r="C67" s="84" t="s">
        <v>714</v>
      </c>
      <c r="D67" s="82" t="s">
        <v>713</v>
      </c>
      <c r="E67" s="83">
        <v>6657</v>
      </c>
      <c r="F67" s="83" t="s">
        <v>28</v>
      </c>
      <c r="G67" s="83" t="s">
        <v>140</v>
      </c>
      <c r="H67" s="83" t="s">
        <v>14</v>
      </c>
      <c r="I67" s="83" t="s">
        <v>19</v>
      </c>
      <c r="J67" s="83">
        <v>55</v>
      </c>
      <c r="K67" s="84"/>
      <c r="L67" s="83" t="s">
        <v>12</v>
      </c>
      <c r="M67" s="83" t="s">
        <v>88</v>
      </c>
      <c r="N67" s="85">
        <v>45933</v>
      </c>
      <c r="O67" s="86" t="s">
        <v>25</v>
      </c>
      <c r="P67" s="85" t="s">
        <v>20</v>
      </c>
      <c r="Q67" s="91">
        <v>978012692</v>
      </c>
      <c r="R67" s="87"/>
      <c r="S67" s="30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</row>
    <row r="68" spans="2:37" ht="16.2" customHeight="1" x14ac:dyDescent="0.3">
      <c r="B68" s="80">
        <v>60</v>
      </c>
      <c r="C68" s="84" t="s">
        <v>712</v>
      </c>
      <c r="D68" s="82" t="s">
        <v>711</v>
      </c>
      <c r="E68" s="83">
        <v>6658</v>
      </c>
      <c r="F68" s="83" t="s">
        <v>16</v>
      </c>
      <c r="G68" s="83" t="s">
        <v>127</v>
      </c>
      <c r="H68" s="83" t="s">
        <v>14</v>
      </c>
      <c r="I68" s="83" t="s">
        <v>19</v>
      </c>
      <c r="J68" s="83">
        <v>55</v>
      </c>
      <c r="K68" s="84"/>
      <c r="L68" s="83" t="s">
        <v>12</v>
      </c>
      <c r="M68" s="83" t="s">
        <v>88</v>
      </c>
      <c r="N68" s="85">
        <v>45933</v>
      </c>
      <c r="O68" s="86" t="s">
        <v>10</v>
      </c>
      <c r="P68" s="85" t="s">
        <v>20</v>
      </c>
      <c r="Q68" s="91">
        <v>852058596</v>
      </c>
      <c r="R68" s="87"/>
      <c r="S68" s="30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</row>
    <row r="69" spans="2:37" ht="16.2" x14ac:dyDescent="0.3">
      <c r="B69" s="80">
        <v>61</v>
      </c>
      <c r="C69" s="84" t="s">
        <v>710</v>
      </c>
      <c r="D69" s="82" t="s">
        <v>709</v>
      </c>
      <c r="E69" s="83">
        <v>6659</v>
      </c>
      <c r="F69" s="83" t="s">
        <v>28</v>
      </c>
      <c r="G69" s="83" t="s">
        <v>100</v>
      </c>
      <c r="H69" s="83" t="s">
        <v>14</v>
      </c>
      <c r="I69" s="83" t="s">
        <v>19</v>
      </c>
      <c r="J69" s="83">
        <v>55</v>
      </c>
      <c r="K69" s="84"/>
      <c r="L69" s="83" t="s">
        <v>12</v>
      </c>
      <c r="M69" s="83" t="s">
        <v>88</v>
      </c>
      <c r="N69" s="85">
        <v>45933</v>
      </c>
      <c r="O69" s="86" t="s">
        <v>10</v>
      </c>
      <c r="P69" s="85" t="s">
        <v>20</v>
      </c>
      <c r="Q69" s="91">
        <v>852058596</v>
      </c>
      <c r="R69" s="87"/>
      <c r="S69" s="30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</row>
    <row r="70" spans="2:37" ht="16.2" x14ac:dyDescent="0.3">
      <c r="B70" s="80">
        <v>62</v>
      </c>
      <c r="C70" s="84" t="s">
        <v>708</v>
      </c>
      <c r="D70" s="82" t="s">
        <v>707</v>
      </c>
      <c r="E70" s="83">
        <v>6660</v>
      </c>
      <c r="F70" s="83" t="s">
        <v>28</v>
      </c>
      <c r="G70" s="84" t="s">
        <v>15</v>
      </c>
      <c r="H70" s="83" t="s">
        <v>14</v>
      </c>
      <c r="I70" s="83" t="s">
        <v>19</v>
      </c>
      <c r="J70" s="83">
        <v>40</v>
      </c>
      <c r="K70" s="84"/>
      <c r="L70" s="83" t="s">
        <v>26</v>
      </c>
      <c r="M70" s="83" t="s">
        <v>88</v>
      </c>
      <c r="N70" s="85">
        <v>45933</v>
      </c>
      <c r="O70" s="86" t="s">
        <v>25</v>
      </c>
      <c r="P70" s="85" t="s">
        <v>9</v>
      </c>
      <c r="Q70" s="91" t="s">
        <v>706</v>
      </c>
      <c r="R70" s="87"/>
      <c r="S70" s="30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</row>
    <row r="71" spans="2:37" ht="16.2" x14ac:dyDescent="0.3">
      <c r="B71" s="80">
        <v>63</v>
      </c>
      <c r="C71" s="84" t="s">
        <v>705</v>
      </c>
      <c r="D71" s="82" t="s">
        <v>704</v>
      </c>
      <c r="E71" s="83">
        <v>6661</v>
      </c>
      <c r="F71" s="83" t="s">
        <v>28</v>
      </c>
      <c r="G71" s="83" t="s">
        <v>80</v>
      </c>
      <c r="H71" s="83" t="s">
        <v>14</v>
      </c>
      <c r="I71" s="83" t="s">
        <v>19</v>
      </c>
      <c r="J71" s="83">
        <v>40</v>
      </c>
      <c r="K71" s="84"/>
      <c r="L71" s="83" t="s">
        <v>26</v>
      </c>
      <c r="M71" s="83" t="s">
        <v>88</v>
      </c>
      <c r="N71" s="85">
        <v>45933</v>
      </c>
      <c r="O71" s="86" t="s">
        <v>25</v>
      </c>
      <c r="P71" s="85" t="s">
        <v>9</v>
      </c>
      <c r="Q71" s="91">
        <v>840943022</v>
      </c>
      <c r="R71" s="87"/>
      <c r="S71" s="30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</row>
    <row r="72" spans="2:37" ht="16.2" x14ac:dyDescent="0.3">
      <c r="B72" s="80">
        <v>64</v>
      </c>
      <c r="C72" s="84" t="s">
        <v>703</v>
      </c>
      <c r="D72" s="82" t="s">
        <v>702</v>
      </c>
      <c r="E72" s="83">
        <v>6662</v>
      </c>
      <c r="F72" s="83" t="s">
        <v>16</v>
      </c>
      <c r="G72" s="83" t="s">
        <v>22</v>
      </c>
      <c r="H72" s="83" t="s">
        <v>14</v>
      </c>
      <c r="I72" s="83" t="s">
        <v>19</v>
      </c>
      <c r="J72" s="83">
        <v>45</v>
      </c>
      <c r="K72" s="84"/>
      <c r="L72" s="83" t="s">
        <v>26</v>
      </c>
      <c r="M72" s="83" t="s">
        <v>88</v>
      </c>
      <c r="N72" s="85">
        <v>45933</v>
      </c>
      <c r="O72" s="86" t="s">
        <v>10</v>
      </c>
      <c r="P72" s="85" t="s">
        <v>20</v>
      </c>
      <c r="Q72" s="91">
        <v>840943022</v>
      </c>
      <c r="R72" s="87"/>
      <c r="S72" s="30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</row>
    <row r="73" spans="2:37" ht="16.2" x14ac:dyDescent="0.3">
      <c r="B73" s="80">
        <v>65</v>
      </c>
      <c r="C73" s="84" t="s">
        <v>701</v>
      </c>
      <c r="D73" s="82" t="s">
        <v>700</v>
      </c>
      <c r="E73" s="83">
        <v>6663</v>
      </c>
      <c r="F73" s="83" t="s">
        <v>28</v>
      </c>
      <c r="G73" s="84" t="s">
        <v>31</v>
      </c>
      <c r="H73" s="83" t="s">
        <v>14</v>
      </c>
      <c r="I73" s="83" t="s">
        <v>19</v>
      </c>
      <c r="J73" s="83">
        <v>45</v>
      </c>
      <c r="K73" s="84"/>
      <c r="L73" s="83" t="s">
        <v>12</v>
      </c>
      <c r="M73" s="83" t="s">
        <v>88</v>
      </c>
      <c r="N73" s="85">
        <v>45933</v>
      </c>
      <c r="O73" s="86" t="s">
        <v>10</v>
      </c>
      <c r="P73" s="85" t="s">
        <v>20</v>
      </c>
      <c r="Q73" s="91">
        <v>840943022</v>
      </c>
      <c r="R73" s="87"/>
      <c r="S73" s="30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</row>
    <row r="74" spans="2:37" ht="16.2" customHeight="1" x14ac:dyDescent="0.3">
      <c r="B74" s="80">
        <v>66</v>
      </c>
      <c r="C74" s="84" t="s">
        <v>699</v>
      </c>
      <c r="D74" s="82" t="s">
        <v>698</v>
      </c>
      <c r="E74" s="83">
        <v>6665</v>
      </c>
      <c r="F74" s="83" t="s">
        <v>16</v>
      </c>
      <c r="G74" s="83" t="s">
        <v>97</v>
      </c>
      <c r="H74" s="83" t="s">
        <v>14</v>
      </c>
      <c r="I74" s="83" t="s">
        <v>19</v>
      </c>
      <c r="J74" s="83">
        <v>80</v>
      </c>
      <c r="K74" s="84"/>
      <c r="L74" s="83" t="s">
        <v>12</v>
      </c>
      <c r="M74" s="83" t="s">
        <v>88</v>
      </c>
      <c r="N74" s="85">
        <v>45933</v>
      </c>
      <c r="O74" s="86" t="s">
        <v>25</v>
      </c>
      <c r="P74" s="85" t="s">
        <v>20</v>
      </c>
      <c r="Q74" s="91">
        <v>971790071</v>
      </c>
      <c r="R74" s="87"/>
      <c r="S74" s="30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</row>
    <row r="75" spans="2:37" ht="16.2" customHeight="1" x14ac:dyDescent="0.3">
      <c r="B75" s="80">
        <v>67</v>
      </c>
      <c r="C75" s="84" t="s">
        <v>697</v>
      </c>
      <c r="D75" s="82" t="s">
        <v>696</v>
      </c>
      <c r="E75" s="83">
        <v>6668</v>
      </c>
      <c r="F75" s="83" t="s">
        <v>16</v>
      </c>
      <c r="G75" s="84" t="s">
        <v>50</v>
      </c>
      <c r="H75" s="83" t="s">
        <v>14</v>
      </c>
      <c r="I75" s="83" t="s">
        <v>19</v>
      </c>
      <c r="J75" s="83">
        <v>35</v>
      </c>
      <c r="K75" s="84"/>
      <c r="L75" s="83" t="s">
        <v>26</v>
      </c>
      <c r="M75" s="83" t="s">
        <v>88</v>
      </c>
      <c r="N75" s="85">
        <v>45933</v>
      </c>
      <c r="O75" s="86" t="s">
        <v>25</v>
      </c>
      <c r="P75" s="85" t="s">
        <v>9</v>
      </c>
      <c r="Q75" s="91"/>
      <c r="R75" s="87"/>
      <c r="S75" s="30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</row>
    <row r="76" spans="2:37" ht="16.2" x14ac:dyDescent="0.3">
      <c r="B76" s="80">
        <v>68</v>
      </c>
      <c r="C76" s="84" t="s">
        <v>695</v>
      </c>
      <c r="D76" s="82" t="s">
        <v>694</v>
      </c>
      <c r="E76" s="100">
        <v>6667</v>
      </c>
      <c r="F76" s="99" t="s">
        <v>16</v>
      </c>
      <c r="G76" s="84" t="s">
        <v>15</v>
      </c>
      <c r="H76" s="84" t="s">
        <v>14</v>
      </c>
      <c r="I76" s="83" t="s">
        <v>19</v>
      </c>
      <c r="J76" s="84">
        <v>35</v>
      </c>
      <c r="K76" s="84"/>
      <c r="L76" s="83" t="s">
        <v>26</v>
      </c>
      <c r="M76" s="99" t="s">
        <v>88</v>
      </c>
      <c r="N76" s="85">
        <v>45933</v>
      </c>
      <c r="O76" s="86" t="s">
        <v>25</v>
      </c>
      <c r="P76" s="85" t="s">
        <v>9</v>
      </c>
      <c r="Q76" s="91"/>
      <c r="R76" s="87"/>
      <c r="S76" s="30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</row>
    <row r="77" spans="2:37" ht="16.2" x14ac:dyDescent="0.3">
      <c r="B77" s="80">
        <v>69</v>
      </c>
      <c r="C77" s="84" t="s">
        <v>693</v>
      </c>
      <c r="D77" s="82" t="s">
        <v>692</v>
      </c>
      <c r="E77" s="83">
        <v>6669</v>
      </c>
      <c r="F77" s="83" t="s">
        <v>28</v>
      </c>
      <c r="G77" s="83" t="s">
        <v>301</v>
      </c>
      <c r="H77" s="83" t="s">
        <v>14</v>
      </c>
      <c r="I77" s="83" t="s">
        <v>19</v>
      </c>
      <c r="J77" s="83">
        <v>80</v>
      </c>
      <c r="K77" s="84"/>
      <c r="L77" s="83" t="s">
        <v>12</v>
      </c>
      <c r="M77" s="83" t="s">
        <v>88</v>
      </c>
      <c r="N77" s="85">
        <v>45933</v>
      </c>
      <c r="O77" s="86" t="s">
        <v>25</v>
      </c>
      <c r="P77" s="85" t="s">
        <v>20</v>
      </c>
      <c r="Q77" s="91" t="s">
        <v>691</v>
      </c>
      <c r="R77" s="87"/>
      <c r="S77" s="30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</row>
    <row r="78" spans="2:37" ht="16.2" x14ac:dyDescent="0.3">
      <c r="B78" s="80">
        <v>70</v>
      </c>
      <c r="C78" s="84" t="s">
        <v>690</v>
      </c>
      <c r="D78" s="82" t="s">
        <v>689</v>
      </c>
      <c r="E78" s="83">
        <v>6670</v>
      </c>
      <c r="F78" s="83" t="s">
        <v>28</v>
      </c>
      <c r="G78" s="83" t="s">
        <v>53</v>
      </c>
      <c r="H78" s="83" t="s">
        <v>14</v>
      </c>
      <c r="I78" s="83" t="s">
        <v>19</v>
      </c>
      <c r="J78" s="83">
        <v>45</v>
      </c>
      <c r="K78" s="84"/>
      <c r="L78" s="83" t="s">
        <v>26</v>
      </c>
      <c r="M78" s="83" t="s">
        <v>88</v>
      </c>
      <c r="N78" s="85">
        <v>45933</v>
      </c>
      <c r="O78" s="86" t="s">
        <v>10</v>
      </c>
      <c r="P78" s="85" t="s">
        <v>20</v>
      </c>
      <c r="Q78" s="91">
        <v>982121790</v>
      </c>
      <c r="R78" s="87"/>
      <c r="S78" s="30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</row>
    <row r="79" spans="2:37" ht="16.2" x14ac:dyDescent="0.3">
      <c r="B79" s="80">
        <v>71</v>
      </c>
      <c r="C79" s="84" t="s">
        <v>688</v>
      </c>
      <c r="D79" s="82" t="s">
        <v>687</v>
      </c>
      <c r="E79" s="83">
        <v>6666</v>
      </c>
      <c r="F79" s="83" t="s">
        <v>16</v>
      </c>
      <c r="G79" s="83" t="s">
        <v>77</v>
      </c>
      <c r="H79" s="83" t="s">
        <v>14</v>
      </c>
      <c r="I79" s="83" t="s">
        <v>19</v>
      </c>
      <c r="J79" s="83">
        <v>30</v>
      </c>
      <c r="K79" s="84"/>
      <c r="L79" s="83" t="s">
        <v>26</v>
      </c>
      <c r="M79" s="83" t="s">
        <v>88</v>
      </c>
      <c r="N79" s="85">
        <v>45933</v>
      </c>
      <c r="O79" s="86" t="s">
        <v>25</v>
      </c>
      <c r="P79" s="85" t="s">
        <v>0</v>
      </c>
      <c r="Q79" s="91"/>
      <c r="R79" s="87"/>
      <c r="S79" s="30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</row>
    <row r="80" spans="2:37" ht="16.2" x14ac:dyDescent="0.3">
      <c r="B80" s="80">
        <v>72</v>
      </c>
      <c r="C80" s="84" t="s">
        <v>686</v>
      </c>
      <c r="D80" s="82" t="s">
        <v>685</v>
      </c>
      <c r="E80" s="83">
        <v>6678</v>
      </c>
      <c r="F80" s="83" t="s">
        <v>16</v>
      </c>
      <c r="G80" s="83" t="s">
        <v>174</v>
      </c>
      <c r="H80" s="83" t="s">
        <v>14</v>
      </c>
      <c r="I80" s="83" t="s">
        <v>19</v>
      </c>
      <c r="J80" s="83">
        <v>80</v>
      </c>
      <c r="K80" s="84"/>
      <c r="L80" s="83" t="s">
        <v>26</v>
      </c>
      <c r="M80" s="83" t="s">
        <v>216</v>
      </c>
      <c r="N80" s="85">
        <v>45934</v>
      </c>
      <c r="O80" s="86" t="s">
        <v>10</v>
      </c>
      <c r="P80" s="85" t="s">
        <v>20</v>
      </c>
      <c r="Q80" s="91"/>
      <c r="R80" s="87"/>
      <c r="S80" s="30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</row>
    <row r="81" spans="2:37" ht="16.2" x14ac:dyDescent="0.3">
      <c r="B81" s="80">
        <v>73</v>
      </c>
      <c r="C81" s="84" t="s">
        <v>684</v>
      </c>
      <c r="D81" s="82" t="s">
        <v>683</v>
      </c>
      <c r="E81" s="83">
        <v>6674</v>
      </c>
      <c r="F81" s="83" t="s">
        <v>16</v>
      </c>
      <c r="G81" s="83" t="s">
        <v>31</v>
      </c>
      <c r="H81" s="83" t="s">
        <v>14</v>
      </c>
      <c r="I81" s="83" t="s">
        <v>19</v>
      </c>
      <c r="J81" s="83">
        <v>45</v>
      </c>
      <c r="K81" s="84"/>
      <c r="L81" s="83" t="s">
        <v>26</v>
      </c>
      <c r="M81" s="83" t="s">
        <v>216</v>
      </c>
      <c r="N81" s="85">
        <v>45934</v>
      </c>
      <c r="O81" s="86" t="s">
        <v>10</v>
      </c>
      <c r="P81" s="85" t="s">
        <v>20</v>
      </c>
      <c r="Q81" s="87"/>
      <c r="R81" s="87"/>
      <c r="S81" s="30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</row>
    <row r="82" spans="2:37" ht="16.2" x14ac:dyDescent="0.3">
      <c r="B82" s="80">
        <v>74</v>
      </c>
      <c r="C82" s="84" t="s">
        <v>682</v>
      </c>
      <c r="D82" s="82" t="s">
        <v>681</v>
      </c>
      <c r="E82" s="83">
        <v>6677</v>
      </c>
      <c r="F82" s="83" t="s">
        <v>16</v>
      </c>
      <c r="G82" s="83" t="s">
        <v>185</v>
      </c>
      <c r="H82" s="83" t="s">
        <v>14</v>
      </c>
      <c r="I82" s="83" t="s">
        <v>19</v>
      </c>
      <c r="J82" s="83">
        <v>55</v>
      </c>
      <c r="K82" s="84"/>
      <c r="L82" s="83" t="s">
        <v>12</v>
      </c>
      <c r="M82" s="83" t="s">
        <v>216</v>
      </c>
      <c r="N82" s="85">
        <v>45934</v>
      </c>
      <c r="O82" s="86" t="s">
        <v>10</v>
      </c>
      <c r="P82" s="85" t="s">
        <v>20</v>
      </c>
      <c r="Q82" s="87"/>
      <c r="R82" s="87"/>
      <c r="S82" s="30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</row>
    <row r="83" spans="2:37" ht="16.2" customHeight="1" x14ac:dyDescent="0.3">
      <c r="B83" s="80">
        <v>75</v>
      </c>
      <c r="C83" s="84" t="s">
        <v>680</v>
      </c>
      <c r="D83" s="82" t="s">
        <v>679</v>
      </c>
      <c r="E83" s="83">
        <v>6676</v>
      </c>
      <c r="F83" s="83" t="s">
        <v>16</v>
      </c>
      <c r="G83" s="83" t="s">
        <v>150</v>
      </c>
      <c r="H83" s="83" t="s">
        <v>14</v>
      </c>
      <c r="I83" s="83" t="s">
        <v>19</v>
      </c>
      <c r="J83" s="83">
        <v>45</v>
      </c>
      <c r="K83" s="84"/>
      <c r="L83" s="83" t="s">
        <v>12</v>
      </c>
      <c r="M83" s="83" t="s">
        <v>216</v>
      </c>
      <c r="N83" s="85">
        <v>45934</v>
      </c>
      <c r="O83" s="86" t="s">
        <v>10</v>
      </c>
      <c r="P83" s="85" t="s">
        <v>20</v>
      </c>
      <c r="Q83" s="87"/>
      <c r="R83" s="87"/>
      <c r="S83" s="30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</row>
    <row r="84" spans="2:37" ht="16.2" customHeight="1" x14ac:dyDescent="0.3">
      <c r="B84" s="80">
        <v>76</v>
      </c>
      <c r="C84" s="84" t="s">
        <v>678</v>
      </c>
      <c r="D84" s="82" t="s">
        <v>677</v>
      </c>
      <c r="E84" s="83">
        <v>6675</v>
      </c>
      <c r="F84" s="83" t="s">
        <v>16</v>
      </c>
      <c r="G84" s="83" t="s">
        <v>174</v>
      </c>
      <c r="H84" s="83" t="s">
        <v>14</v>
      </c>
      <c r="I84" s="83" t="s">
        <v>19</v>
      </c>
      <c r="J84" s="83">
        <v>80</v>
      </c>
      <c r="K84" s="84"/>
      <c r="L84" s="83" t="s">
        <v>12</v>
      </c>
      <c r="M84" s="83" t="s">
        <v>216</v>
      </c>
      <c r="N84" s="85">
        <v>45934</v>
      </c>
      <c r="O84" s="86" t="s">
        <v>25</v>
      </c>
      <c r="P84" s="85" t="s">
        <v>20</v>
      </c>
      <c r="Q84" s="87"/>
      <c r="R84" s="87"/>
      <c r="S84" s="30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</row>
    <row r="85" spans="2:37" ht="16.2" x14ac:dyDescent="0.3">
      <c r="B85" s="80">
        <v>77</v>
      </c>
      <c r="C85" s="84" t="s">
        <v>676</v>
      </c>
      <c r="D85" s="82" t="s">
        <v>675</v>
      </c>
      <c r="E85" s="83">
        <v>6673</v>
      </c>
      <c r="F85" s="83" t="s">
        <v>16</v>
      </c>
      <c r="G85" s="83" t="s">
        <v>40</v>
      </c>
      <c r="H85" s="83" t="s">
        <v>14</v>
      </c>
      <c r="I85" s="83" t="s">
        <v>19</v>
      </c>
      <c r="J85" s="83">
        <v>40</v>
      </c>
      <c r="K85" s="84"/>
      <c r="L85" s="83" t="s">
        <v>26</v>
      </c>
      <c r="M85" s="83" t="s">
        <v>216</v>
      </c>
      <c r="N85" s="85">
        <v>45934</v>
      </c>
      <c r="O85" s="86" t="s">
        <v>10</v>
      </c>
      <c r="P85" s="85" t="s">
        <v>0</v>
      </c>
      <c r="Q85" s="87"/>
      <c r="R85" s="87"/>
      <c r="S85" s="30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</row>
    <row r="86" spans="2:37" ht="16.2" x14ac:dyDescent="0.3">
      <c r="B86" s="80">
        <v>78</v>
      </c>
      <c r="C86" s="84" t="s">
        <v>674</v>
      </c>
      <c r="D86" s="82" t="s">
        <v>673</v>
      </c>
      <c r="E86" s="83">
        <v>6742</v>
      </c>
      <c r="F86" s="83" t="s">
        <v>28</v>
      </c>
      <c r="G86" s="83" t="s">
        <v>201</v>
      </c>
      <c r="H86" s="83" t="s">
        <v>14</v>
      </c>
      <c r="I86" s="83" t="s">
        <v>19</v>
      </c>
      <c r="J86" s="83">
        <v>35</v>
      </c>
      <c r="K86" s="84"/>
      <c r="L86" s="83" t="s">
        <v>12</v>
      </c>
      <c r="M86" s="83" t="s">
        <v>60</v>
      </c>
      <c r="N86" s="88">
        <v>45936</v>
      </c>
      <c r="O86" s="89" t="s">
        <v>10</v>
      </c>
      <c r="P86" s="88" t="s">
        <v>9</v>
      </c>
      <c r="Q86" s="90"/>
      <c r="R86" s="90"/>
      <c r="S86" s="30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</row>
    <row r="87" spans="2:37" ht="16.2" x14ac:dyDescent="0.3">
      <c r="B87" s="80">
        <v>79</v>
      </c>
      <c r="C87" s="84" t="s">
        <v>672</v>
      </c>
      <c r="D87" s="82" t="s">
        <v>671</v>
      </c>
      <c r="E87" s="83">
        <v>6741</v>
      </c>
      <c r="F87" s="83" t="s">
        <v>16</v>
      </c>
      <c r="G87" s="83" t="s">
        <v>50</v>
      </c>
      <c r="H87" s="83" t="s">
        <v>14</v>
      </c>
      <c r="I87" s="83" t="s">
        <v>19</v>
      </c>
      <c r="J87" s="83">
        <v>40</v>
      </c>
      <c r="K87" s="84"/>
      <c r="L87" s="83" t="s">
        <v>12</v>
      </c>
      <c r="M87" s="83" t="s">
        <v>60</v>
      </c>
      <c r="N87" s="88">
        <v>45936</v>
      </c>
      <c r="O87" s="89" t="s">
        <v>10</v>
      </c>
      <c r="P87" s="88" t="s">
        <v>9</v>
      </c>
      <c r="Q87" s="90"/>
      <c r="R87" s="90"/>
      <c r="S87" s="30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</row>
    <row r="88" spans="2:37" ht="16.2" x14ac:dyDescent="0.3">
      <c r="B88" s="80">
        <v>80</v>
      </c>
      <c r="C88" s="101" t="s">
        <v>670</v>
      </c>
      <c r="D88" s="102" t="s">
        <v>669</v>
      </c>
      <c r="E88" s="103">
        <v>6740</v>
      </c>
      <c r="F88" s="101" t="s">
        <v>16</v>
      </c>
      <c r="G88" s="101" t="s">
        <v>83</v>
      </c>
      <c r="H88" s="101" t="s">
        <v>14</v>
      </c>
      <c r="I88" s="101" t="s">
        <v>19</v>
      </c>
      <c r="J88" s="101">
        <v>40</v>
      </c>
      <c r="K88" s="101"/>
      <c r="L88" s="101" t="s">
        <v>12</v>
      </c>
      <c r="M88" s="101" t="s">
        <v>60</v>
      </c>
      <c r="N88" s="85">
        <v>45936</v>
      </c>
      <c r="O88" s="86" t="s">
        <v>10</v>
      </c>
      <c r="P88" s="97" t="s">
        <v>9</v>
      </c>
      <c r="Q88" s="91"/>
      <c r="R88" s="91"/>
      <c r="S88" s="30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</row>
    <row r="89" spans="2:37" ht="16.2" x14ac:dyDescent="0.3">
      <c r="B89" s="80">
        <v>81</v>
      </c>
      <c r="C89" s="84" t="s">
        <v>668</v>
      </c>
      <c r="D89" s="82" t="s">
        <v>667</v>
      </c>
      <c r="E89" s="83">
        <v>6739</v>
      </c>
      <c r="F89" s="83" t="s">
        <v>28</v>
      </c>
      <c r="G89" s="83" t="s">
        <v>46</v>
      </c>
      <c r="H89" s="83" t="s">
        <v>14</v>
      </c>
      <c r="I89" s="83" t="s">
        <v>19</v>
      </c>
      <c r="J89" s="83">
        <v>40</v>
      </c>
      <c r="K89" s="84"/>
      <c r="L89" s="83" t="s">
        <v>26</v>
      </c>
      <c r="M89" s="83" t="s">
        <v>60</v>
      </c>
      <c r="N89" s="88">
        <v>45936</v>
      </c>
      <c r="O89" s="89" t="s">
        <v>10</v>
      </c>
      <c r="P89" s="88" t="s">
        <v>0</v>
      </c>
      <c r="Q89" s="90"/>
      <c r="R89" s="90"/>
      <c r="S89" s="30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</row>
    <row r="90" spans="2:37" ht="16.2" x14ac:dyDescent="0.3">
      <c r="B90" s="80">
        <v>82</v>
      </c>
      <c r="C90" s="84" t="s">
        <v>666</v>
      </c>
      <c r="D90" s="82" t="s">
        <v>665</v>
      </c>
      <c r="E90" s="83">
        <v>6738</v>
      </c>
      <c r="F90" s="83" t="s">
        <v>16</v>
      </c>
      <c r="G90" s="84" t="s">
        <v>46</v>
      </c>
      <c r="H90" s="83" t="s">
        <v>14</v>
      </c>
      <c r="I90" s="83" t="s">
        <v>13</v>
      </c>
      <c r="J90" s="83">
        <v>40</v>
      </c>
      <c r="K90" s="84"/>
      <c r="L90" s="83" t="s">
        <v>26</v>
      </c>
      <c r="M90" s="83" t="s">
        <v>60</v>
      </c>
      <c r="N90" s="92">
        <v>45936</v>
      </c>
      <c r="O90" s="93" t="s">
        <v>10</v>
      </c>
      <c r="P90" s="92" t="s">
        <v>0</v>
      </c>
      <c r="Q90" s="95"/>
      <c r="R90" s="95"/>
      <c r="S90" s="30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</row>
    <row r="91" spans="2:37" ht="16.2" x14ac:dyDescent="0.3">
      <c r="B91" s="80">
        <v>83</v>
      </c>
      <c r="C91" s="84" t="s">
        <v>664</v>
      </c>
      <c r="D91" s="82" t="s">
        <v>663</v>
      </c>
      <c r="E91" s="83">
        <v>6737</v>
      </c>
      <c r="F91" s="83" t="s">
        <v>28</v>
      </c>
      <c r="G91" s="83" t="s">
        <v>50</v>
      </c>
      <c r="H91" s="83" t="s">
        <v>14</v>
      </c>
      <c r="I91" s="83" t="s">
        <v>19</v>
      </c>
      <c r="J91" s="83">
        <v>40</v>
      </c>
      <c r="K91" s="84"/>
      <c r="L91" s="83" t="s">
        <v>12</v>
      </c>
      <c r="M91" s="83" t="s">
        <v>60</v>
      </c>
      <c r="N91" s="92">
        <v>45936</v>
      </c>
      <c r="O91" s="93" t="s">
        <v>10</v>
      </c>
      <c r="P91" s="92" t="s">
        <v>9</v>
      </c>
      <c r="Q91" s="95"/>
      <c r="R91" s="95"/>
      <c r="S91" s="30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</row>
    <row r="92" spans="2:37" ht="16.2" x14ac:dyDescent="0.3">
      <c r="B92" s="80">
        <v>84</v>
      </c>
      <c r="C92" s="84" t="s">
        <v>662</v>
      </c>
      <c r="D92" s="82" t="s">
        <v>661</v>
      </c>
      <c r="E92" s="83">
        <v>6736</v>
      </c>
      <c r="F92" s="83" t="s">
        <v>16</v>
      </c>
      <c r="G92" s="83" t="s">
        <v>83</v>
      </c>
      <c r="H92" s="83" t="s">
        <v>14</v>
      </c>
      <c r="I92" s="83" t="s">
        <v>19</v>
      </c>
      <c r="J92" s="83">
        <v>40</v>
      </c>
      <c r="K92" s="84"/>
      <c r="L92" s="83" t="s">
        <v>12</v>
      </c>
      <c r="M92" s="83" t="s">
        <v>60</v>
      </c>
      <c r="N92" s="92">
        <v>45936</v>
      </c>
      <c r="O92" s="93" t="s">
        <v>10</v>
      </c>
      <c r="P92" s="92" t="s">
        <v>9</v>
      </c>
      <c r="Q92" s="95"/>
      <c r="R92" s="95"/>
      <c r="S92" s="30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</row>
    <row r="93" spans="2:37" ht="16.2" x14ac:dyDescent="0.3">
      <c r="B93" s="80">
        <v>85</v>
      </c>
      <c r="C93" s="84" t="s">
        <v>660</v>
      </c>
      <c r="D93" s="82" t="s">
        <v>659</v>
      </c>
      <c r="E93" s="83">
        <v>6735</v>
      </c>
      <c r="F93" s="84" t="s">
        <v>16</v>
      </c>
      <c r="G93" s="84" t="s">
        <v>72</v>
      </c>
      <c r="H93" s="84" t="s">
        <v>14</v>
      </c>
      <c r="I93" s="84" t="s">
        <v>19</v>
      </c>
      <c r="J93" s="84">
        <v>55</v>
      </c>
      <c r="K93" s="84"/>
      <c r="L93" s="84" t="s">
        <v>12</v>
      </c>
      <c r="M93" s="84" t="s">
        <v>60</v>
      </c>
      <c r="N93" s="92">
        <v>45936</v>
      </c>
      <c r="O93" s="93" t="s">
        <v>25</v>
      </c>
      <c r="P93" s="84" t="s">
        <v>20</v>
      </c>
      <c r="Q93" s="94"/>
      <c r="R93" s="94"/>
      <c r="S93" s="30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</row>
    <row r="94" spans="2:37" ht="16.2" x14ac:dyDescent="0.3">
      <c r="B94" s="80">
        <v>86</v>
      </c>
      <c r="C94" s="84" t="s">
        <v>658</v>
      </c>
      <c r="D94" s="82" t="s">
        <v>657</v>
      </c>
      <c r="E94" s="83">
        <v>6733</v>
      </c>
      <c r="F94" s="83" t="s">
        <v>28</v>
      </c>
      <c r="G94" s="83" t="s">
        <v>100</v>
      </c>
      <c r="H94" s="83" t="s">
        <v>14</v>
      </c>
      <c r="I94" s="83" t="s">
        <v>19</v>
      </c>
      <c r="J94" s="83">
        <v>55</v>
      </c>
      <c r="K94" s="84"/>
      <c r="L94" s="83" t="s">
        <v>26</v>
      </c>
      <c r="M94" s="83" t="s">
        <v>60</v>
      </c>
      <c r="N94" s="92">
        <v>45936</v>
      </c>
      <c r="O94" s="93" t="s">
        <v>10</v>
      </c>
      <c r="P94" s="92" t="s">
        <v>20</v>
      </c>
      <c r="Q94" s="95"/>
      <c r="R94" s="95"/>
      <c r="S94" s="30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</row>
    <row r="95" spans="2:37" ht="16.2" x14ac:dyDescent="0.3">
      <c r="B95" s="80">
        <v>87</v>
      </c>
      <c r="C95" s="84" t="s">
        <v>656</v>
      </c>
      <c r="D95" s="82" t="s">
        <v>655</v>
      </c>
      <c r="E95" s="83">
        <v>6731</v>
      </c>
      <c r="F95" s="83" t="s">
        <v>16</v>
      </c>
      <c r="G95" s="83" t="s">
        <v>50</v>
      </c>
      <c r="H95" s="83" t="s">
        <v>14</v>
      </c>
      <c r="I95" s="83" t="s">
        <v>56</v>
      </c>
      <c r="J95" s="83">
        <v>35</v>
      </c>
      <c r="K95" s="84"/>
      <c r="L95" s="83" t="s">
        <v>26</v>
      </c>
      <c r="M95" s="83" t="s">
        <v>60</v>
      </c>
      <c r="N95" s="92">
        <v>45936</v>
      </c>
      <c r="O95" s="93" t="s">
        <v>10</v>
      </c>
      <c r="P95" s="92" t="s">
        <v>9</v>
      </c>
      <c r="Q95" s="95"/>
      <c r="R95" s="95"/>
      <c r="S95" s="30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</row>
    <row r="96" spans="2:37" ht="16.2" x14ac:dyDescent="0.3">
      <c r="B96" s="80">
        <v>88</v>
      </c>
      <c r="C96" s="84" t="s">
        <v>654</v>
      </c>
      <c r="D96" s="82" t="s">
        <v>653</v>
      </c>
      <c r="E96" s="83">
        <v>6730</v>
      </c>
      <c r="F96" s="83" t="s">
        <v>16</v>
      </c>
      <c r="G96" s="83" t="s">
        <v>40</v>
      </c>
      <c r="H96" s="83" t="s">
        <v>14</v>
      </c>
      <c r="I96" s="83" t="s">
        <v>19</v>
      </c>
      <c r="J96" s="83">
        <v>40</v>
      </c>
      <c r="K96" s="84"/>
      <c r="L96" s="83" t="s">
        <v>26</v>
      </c>
      <c r="M96" s="83" t="s">
        <v>60</v>
      </c>
      <c r="N96" s="92">
        <v>45936</v>
      </c>
      <c r="O96" s="93" t="s">
        <v>10</v>
      </c>
      <c r="P96" s="92" t="s">
        <v>0</v>
      </c>
      <c r="Q96" s="95"/>
      <c r="R96" s="95"/>
      <c r="S96" s="30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</row>
    <row r="97" spans="2:37" ht="16.2" x14ac:dyDescent="0.3">
      <c r="B97" s="80">
        <v>89</v>
      </c>
      <c r="C97" s="84" t="s">
        <v>652</v>
      </c>
      <c r="D97" s="82" t="s">
        <v>651</v>
      </c>
      <c r="E97" s="83">
        <v>6729</v>
      </c>
      <c r="F97" s="83" t="s">
        <v>28</v>
      </c>
      <c r="G97" s="83" t="s">
        <v>31</v>
      </c>
      <c r="H97" s="83" t="s">
        <v>14</v>
      </c>
      <c r="I97" s="83" t="s">
        <v>19</v>
      </c>
      <c r="J97" s="83">
        <v>45</v>
      </c>
      <c r="K97" s="84"/>
      <c r="L97" s="83" t="s">
        <v>26</v>
      </c>
      <c r="M97" s="83" t="s">
        <v>60</v>
      </c>
      <c r="N97" s="92">
        <v>45936</v>
      </c>
      <c r="O97" s="93" t="s">
        <v>25</v>
      </c>
      <c r="P97" s="92" t="s">
        <v>20</v>
      </c>
      <c r="Q97" s="95"/>
      <c r="R97" s="95"/>
      <c r="S97" s="30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</row>
    <row r="98" spans="2:37" ht="16.2" x14ac:dyDescent="0.3">
      <c r="B98" s="80">
        <v>90</v>
      </c>
      <c r="C98" s="84" t="s">
        <v>650</v>
      </c>
      <c r="D98" s="82" t="s">
        <v>649</v>
      </c>
      <c r="E98" s="83">
        <v>6728</v>
      </c>
      <c r="F98" s="83" t="s">
        <v>16</v>
      </c>
      <c r="G98" s="84" t="s">
        <v>37</v>
      </c>
      <c r="H98" s="83" t="s">
        <v>14</v>
      </c>
      <c r="I98" s="83" t="s">
        <v>19</v>
      </c>
      <c r="J98" s="83">
        <v>45</v>
      </c>
      <c r="K98" s="83"/>
      <c r="L98" s="83" t="s">
        <v>12</v>
      </c>
      <c r="M98" s="83" t="s">
        <v>60</v>
      </c>
      <c r="N98" s="92">
        <v>45936</v>
      </c>
      <c r="O98" s="93" t="s">
        <v>10</v>
      </c>
      <c r="P98" s="92" t="s">
        <v>20</v>
      </c>
      <c r="Q98" s="95"/>
      <c r="R98" s="95"/>
      <c r="S98" s="30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</row>
    <row r="99" spans="2:37" ht="16.2" x14ac:dyDescent="0.3">
      <c r="B99" s="80">
        <v>91</v>
      </c>
      <c r="C99" s="84" t="s">
        <v>648</v>
      </c>
      <c r="D99" s="82" t="s">
        <v>647</v>
      </c>
      <c r="E99" s="83">
        <v>6727</v>
      </c>
      <c r="F99" s="83" t="s">
        <v>16</v>
      </c>
      <c r="G99" s="83" t="s">
        <v>31</v>
      </c>
      <c r="H99" s="83" t="s">
        <v>14</v>
      </c>
      <c r="I99" s="83" t="s">
        <v>19</v>
      </c>
      <c r="J99" s="83">
        <v>45</v>
      </c>
      <c r="K99" s="84"/>
      <c r="L99" s="83" t="s">
        <v>12</v>
      </c>
      <c r="M99" s="83" t="s">
        <v>60</v>
      </c>
      <c r="N99" s="85">
        <v>45936</v>
      </c>
      <c r="O99" s="86" t="s">
        <v>25</v>
      </c>
      <c r="P99" s="85" t="s">
        <v>20</v>
      </c>
      <c r="Q99" s="87"/>
      <c r="R99" s="87"/>
      <c r="S99" s="30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</row>
    <row r="100" spans="2:37" ht="16.2" x14ac:dyDescent="0.3">
      <c r="B100" s="80">
        <v>92</v>
      </c>
      <c r="C100" s="84" t="s">
        <v>646</v>
      </c>
      <c r="D100" s="82" t="s">
        <v>645</v>
      </c>
      <c r="E100" s="83">
        <v>6726</v>
      </c>
      <c r="F100" s="84" t="s">
        <v>16</v>
      </c>
      <c r="G100" s="84" t="s">
        <v>27</v>
      </c>
      <c r="H100" s="84" t="s">
        <v>14</v>
      </c>
      <c r="I100" s="84" t="s">
        <v>19</v>
      </c>
      <c r="J100" s="84">
        <v>55</v>
      </c>
      <c r="K100" s="84"/>
      <c r="L100" s="84" t="s">
        <v>12</v>
      </c>
      <c r="M100" s="84" t="s">
        <v>60</v>
      </c>
      <c r="N100" s="85">
        <v>45936</v>
      </c>
      <c r="O100" s="86" t="s">
        <v>25</v>
      </c>
      <c r="P100" s="97" t="s">
        <v>20</v>
      </c>
      <c r="Q100" s="91"/>
      <c r="R100" s="91"/>
      <c r="S100" s="30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</row>
    <row r="101" spans="2:37" ht="16.2" x14ac:dyDescent="0.3">
      <c r="B101" s="80">
        <v>93</v>
      </c>
      <c r="C101" s="97" t="s">
        <v>644</v>
      </c>
      <c r="D101" s="104" t="s">
        <v>643</v>
      </c>
      <c r="E101" s="105">
        <v>6725</v>
      </c>
      <c r="F101" s="97" t="s">
        <v>16</v>
      </c>
      <c r="G101" s="97" t="s">
        <v>83</v>
      </c>
      <c r="H101" s="97" t="s">
        <v>14</v>
      </c>
      <c r="I101" s="97" t="s">
        <v>56</v>
      </c>
      <c r="J101" s="97">
        <v>36.840000000000003</v>
      </c>
      <c r="K101" s="97"/>
      <c r="L101" s="97" t="s">
        <v>12</v>
      </c>
      <c r="M101" s="97" t="s">
        <v>60</v>
      </c>
      <c r="N101" s="85">
        <v>45936</v>
      </c>
      <c r="O101" s="86" t="s">
        <v>10</v>
      </c>
      <c r="P101" s="97" t="s">
        <v>9</v>
      </c>
      <c r="Q101" s="91"/>
      <c r="R101" s="91"/>
      <c r="S101" s="30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</row>
    <row r="102" spans="2:37" ht="16.2" x14ac:dyDescent="0.3">
      <c r="B102" s="80">
        <v>94</v>
      </c>
      <c r="C102" s="84" t="s">
        <v>642</v>
      </c>
      <c r="D102" s="82" t="s">
        <v>641</v>
      </c>
      <c r="E102" s="83">
        <v>6783</v>
      </c>
      <c r="F102" s="83" t="s">
        <v>28</v>
      </c>
      <c r="G102" s="83" t="s">
        <v>301</v>
      </c>
      <c r="H102" s="83" t="s">
        <v>14</v>
      </c>
      <c r="I102" s="83" t="s">
        <v>56</v>
      </c>
      <c r="J102" s="83">
        <v>50</v>
      </c>
      <c r="K102" s="84"/>
      <c r="L102" s="83" t="s">
        <v>26</v>
      </c>
      <c r="M102" s="83" t="s">
        <v>60</v>
      </c>
      <c r="N102" s="85">
        <v>45936</v>
      </c>
      <c r="O102" s="86" t="s">
        <v>25</v>
      </c>
      <c r="P102" s="85" t="s">
        <v>20</v>
      </c>
      <c r="Q102" s="87"/>
      <c r="R102" s="87"/>
      <c r="S102" s="30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</row>
    <row r="103" spans="2:37" ht="16.2" x14ac:dyDescent="0.3">
      <c r="B103" s="80">
        <v>95</v>
      </c>
      <c r="C103" s="84" t="s">
        <v>640</v>
      </c>
      <c r="D103" s="82" t="s">
        <v>639</v>
      </c>
      <c r="E103" s="83">
        <v>6722</v>
      </c>
      <c r="F103" s="84" t="s">
        <v>16</v>
      </c>
      <c r="G103" s="83" t="s">
        <v>97</v>
      </c>
      <c r="H103" s="83" t="s">
        <v>14</v>
      </c>
      <c r="I103" s="83" t="s">
        <v>56</v>
      </c>
      <c r="J103" s="84">
        <v>50</v>
      </c>
      <c r="K103" s="84"/>
      <c r="L103" s="84" t="s">
        <v>26</v>
      </c>
      <c r="M103" s="84" t="s">
        <v>60</v>
      </c>
      <c r="N103" s="85">
        <v>45936</v>
      </c>
      <c r="O103" s="86" t="s">
        <v>25</v>
      </c>
      <c r="P103" s="97" t="s">
        <v>20</v>
      </c>
      <c r="Q103" s="91"/>
      <c r="R103" s="91"/>
      <c r="S103" s="30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</row>
    <row r="104" spans="2:37" ht="16.2" x14ac:dyDescent="0.3">
      <c r="B104" s="80">
        <v>96</v>
      </c>
      <c r="C104" s="84" t="s">
        <v>638</v>
      </c>
      <c r="D104" s="82" t="s">
        <v>637</v>
      </c>
      <c r="E104" s="83">
        <v>6721</v>
      </c>
      <c r="F104" s="84" t="s">
        <v>16</v>
      </c>
      <c r="G104" s="84" t="s">
        <v>185</v>
      </c>
      <c r="H104" s="84" t="s">
        <v>14</v>
      </c>
      <c r="I104" s="84" t="s">
        <v>19</v>
      </c>
      <c r="J104" s="84">
        <v>55</v>
      </c>
      <c r="K104" s="84"/>
      <c r="L104" s="84" t="s">
        <v>26</v>
      </c>
      <c r="M104" s="84" t="s">
        <v>60</v>
      </c>
      <c r="N104" s="92">
        <v>45936</v>
      </c>
      <c r="O104" s="93" t="s">
        <v>10</v>
      </c>
      <c r="P104" s="84" t="s">
        <v>20</v>
      </c>
      <c r="Q104" s="94"/>
      <c r="R104" s="94"/>
      <c r="S104" s="30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</row>
    <row r="105" spans="2:37" ht="16.2" x14ac:dyDescent="0.3">
      <c r="B105" s="80">
        <v>97</v>
      </c>
      <c r="C105" s="84" t="s">
        <v>636</v>
      </c>
      <c r="D105" s="82" t="s">
        <v>635</v>
      </c>
      <c r="E105" s="83">
        <v>6720</v>
      </c>
      <c r="F105" s="84" t="s">
        <v>16</v>
      </c>
      <c r="G105" s="84" t="s">
        <v>77</v>
      </c>
      <c r="H105" s="84" t="s">
        <v>14</v>
      </c>
      <c r="I105" s="84" t="s">
        <v>19</v>
      </c>
      <c r="J105" s="84">
        <v>40</v>
      </c>
      <c r="K105" s="84"/>
      <c r="L105" s="84" t="s">
        <v>26</v>
      </c>
      <c r="M105" s="84" t="s">
        <v>60</v>
      </c>
      <c r="N105" s="92">
        <v>45936</v>
      </c>
      <c r="O105" s="93" t="s">
        <v>10</v>
      </c>
      <c r="P105" s="84" t="s">
        <v>0</v>
      </c>
      <c r="Q105" s="94"/>
      <c r="R105" s="94"/>
      <c r="S105" s="30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</row>
    <row r="106" spans="2:37" ht="16.2" x14ac:dyDescent="0.3">
      <c r="B106" s="80">
        <v>98</v>
      </c>
      <c r="C106" s="84" t="s">
        <v>634</v>
      </c>
      <c r="D106" s="82" t="s">
        <v>633</v>
      </c>
      <c r="E106" s="83">
        <v>6718</v>
      </c>
      <c r="F106" s="83" t="s">
        <v>16</v>
      </c>
      <c r="G106" s="83" t="s">
        <v>57</v>
      </c>
      <c r="H106" s="83" t="s">
        <v>14</v>
      </c>
      <c r="I106" s="83" t="s">
        <v>19</v>
      </c>
      <c r="J106" s="83">
        <v>45</v>
      </c>
      <c r="K106" s="84"/>
      <c r="L106" s="83" t="s">
        <v>26</v>
      </c>
      <c r="M106" s="83" t="s">
        <v>60</v>
      </c>
      <c r="N106" s="85">
        <v>45936</v>
      </c>
      <c r="O106" s="86" t="s">
        <v>25</v>
      </c>
      <c r="P106" s="85" t="s">
        <v>20</v>
      </c>
      <c r="Q106" s="87"/>
      <c r="R106" s="87"/>
      <c r="S106" s="30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</row>
    <row r="107" spans="2:37" ht="16.2" x14ac:dyDescent="0.3">
      <c r="B107" s="80">
        <v>99</v>
      </c>
      <c r="C107" s="84" t="s">
        <v>632</v>
      </c>
      <c r="D107" s="82" t="s">
        <v>631</v>
      </c>
      <c r="E107" s="83">
        <v>6717</v>
      </c>
      <c r="F107" s="83" t="s">
        <v>16</v>
      </c>
      <c r="G107" s="83" t="s">
        <v>97</v>
      </c>
      <c r="H107" s="83" t="s">
        <v>14</v>
      </c>
      <c r="I107" s="83" t="s">
        <v>19</v>
      </c>
      <c r="J107" s="83">
        <v>80</v>
      </c>
      <c r="K107" s="83"/>
      <c r="L107" s="83" t="s">
        <v>12</v>
      </c>
      <c r="M107" s="83" t="s">
        <v>60</v>
      </c>
      <c r="N107" s="85">
        <v>45936</v>
      </c>
      <c r="O107" s="86" t="s">
        <v>25</v>
      </c>
      <c r="P107" s="85" t="s">
        <v>20</v>
      </c>
      <c r="Q107" s="87"/>
      <c r="R107" s="87"/>
      <c r="S107" s="30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</row>
    <row r="108" spans="2:37" ht="16.2" x14ac:dyDescent="0.3">
      <c r="B108" s="80">
        <v>100</v>
      </c>
      <c r="C108" s="84" t="s">
        <v>630</v>
      </c>
      <c r="D108" s="82" t="s">
        <v>629</v>
      </c>
      <c r="E108" s="83">
        <v>6716</v>
      </c>
      <c r="F108" s="83" t="s">
        <v>16</v>
      </c>
      <c r="G108" s="83" t="s">
        <v>133</v>
      </c>
      <c r="H108" s="83" t="s">
        <v>14</v>
      </c>
      <c r="I108" s="83" t="s">
        <v>19</v>
      </c>
      <c r="J108" s="83">
        <v>35</v>
      </c>
      <c r="K108" s="84"/>
      <c r="L108" s="83" t="s">
        <v>12</v>
      </c>
      <c r="M108" s="83" t="s">
        <v>60</v>
      </c>
      <c r="N108" s="85">
        <v>45936</v>
      </c>
      <c r="O108" s="86" t="s">
        <v>10</v>
      </c>
      <c r="P108" s="85" t="s">
        <v>9</v>
      </c>
      <c r="Q108" s="87"/>
      <c r="R108" s="87"/>
      <c r="S108" s="30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</row>
    <row r="109" spans="2:37" ht="16.2" x14ac:dyDescent="0.3">
      <c r="B109" s="80">
        <v>101</v>
      </c>
      <c r="C109" s="84" t="s">
        <v>628</v>
      </c>
      <c r="D109" s="82" t="s">
        <v>627</v>
      </c>
      <c r="E109" s="83">
        <v>6715</v>
      </c>
      <c r="F109" s="83" t="s">
        <v>16</v>
      </c>
      <c r="G109" s="84" t="s">
        <v>22</v>
      </c>
      <c r="H109" s="83" t="s">
        <v>14</v>
      </c>
      <c r="I109" s="83" t="s">
        <v>21</v>
      </c>
      <c r="J109" s="83">
        <v>45</v>
      </c>
      <c r="K109" s="84"/>
      <c r="L109" s="83" t="s">
        <v>26</v>
      </c>
      <c r="M109" s="83" t="s">
        <v>60</v>
      </c>
      <c r="N109" s="85">
        <v>45936</v>
      </c>
      <c r="O109" s="86" t="s">
        <v>10</v>
      </c>
      <c r="P109" s="85" t="s">
        <v>20</v>
      </c>
      <c r="Q109" s="87"/>
      <c r="R109" s="87"/>
      <c r="S109" s="30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</row>
    <row r="110" spans="2:37" ht="16.2" x14ac:dyDescent="0.3">
      <c r="B110" s="80">
        <v>102</v>
      </c>
      <c r="C110" s="84" t="s">
        <v>626</v>
      </c>
      <c r="D110" s="82" t="s">
        <v>625</v>
      </c>
      <c r="E110" s="83">
        <v>6714</v>
      </c>
      <c r="F110" s="83" t="s">
        <v>28</v>
      </c>
      <c r="G110" s="83" t="s">
        <v>624</v>
      </c>
      <c r="H110" s="83" t="s">
        <v>14</v>
      </c>
      <c r="I110" s="83" t="s">
        <v>19</v>
      </c>
      <c r="J110" s="83">
        <v>55</v>
      </c>
      <c r="K110" s="84"/>
      <c r="L110" s="83" t="s">
        <v>26</v>
      </c>
      <c r="M110" s="83" t="s">
        <v>60</v>
      </c>
      <c r="N110" s="85">
        <v>45936</v>
      </c>
      <c r="O110" s="86" t="s">
        <v>10</v>
      </c>
      <c r="P110" s="85" t="s">
        <v>20</v>
      </c>
      <c r="Q110" s="87"/>
      <c r="R110" s="87"/>
      <c r="S110" s="30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</row>
    <row r="111" spans="2:37" ht="16.2" x14ac:dyDescent="0.3">
      <c r="B111" s="80">
        <v>103</v>
      </c>
      <c r="C111" s="84" t="s">
        <v>70</v>
      </c>
      <c r="D111" s="82" t="s">
        <v>623</v>
      </c>
      <c r="E111" s="83">
        <v>6713</v>
      </c>
      <c r="F111" s="83" t="s">
        <v>16</v>
      </c>
      <c r="G111" s="83" t="s">
        <v>57</v>
      </c>
      <c r="H111" s="83" t="s">
        <v>14</v>
      </c>
      <c r="I111" s="83" t="s">
        <v>19</v>
      </c>
      <c r="J111" s="83">
        <v>45</v>
      </c>
      <c r="K111" s="83"/>
      <c r="L111" s="83" t="s">
        <v>26</v>
      </c>
      <c r="M111" s="83" t="s">
        <v>60</v>
      </c>
      <c r="N111" s="85">
        <v>45936</v>
      </c>
      <c r="O111" s="86" t="s">
        <v>25</v>
      </c>
      <c r="P111" s="85" t="s">
        <v>20</v>
      </c>
      <c r="Q111" s="87"/>
      <c r="R111" s="87"/>
      <c r="S111" s="30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</row>
    <row r="112" spans="2:37" ht="16.2" x14ac:dyDescent="0.3">
      <c r="B112" s="80">
        <v>104</v>
      </c>
      <c r="C112" s="84" t="s">
        <v>33</v>
      </c>
      <c r="D112" s="82" t="s">
        <v>622</v>
      </c>
      <c r="E112" s="83">
        <v>6712</v>
      </c>
      <c r="F112" s="83" t="s">
        <v>28</v>
      </c>
      <c r="G112" s="83" t="s">
        <v>57</v>
      </c>
      <c r="H112" s="83" t="s">
        <v>14</v>
      </c>
      <c r="I112" s="83" t="s">
        <v>13</v>
      </c>
      <c r="J112" s="83">
        <v>45</v>
      </c>
      <c r="K112" s="84"/>
      <c r="L112" s="83" t="s">
        <v>26</v>
      </c>
      <c r="M112" s="83" t="s">
        <v>60</v>
      </c>
      <c r="N112" s="85">
        <v>45936</v>
      </c>
      <c r="O112" s="86" t="s">
        <v>25</v>
      </c>
      <c r="P112" s="85" t="s">
        <v>20</v>
      </c>
      <c r="Q112" s="87"/>
      <c r="R112" s="87"/>
      <c r="S112" s="30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</row>
    <row r="113" spans="2:37" ht="16.2" x14ac:dyDescent="0.3">
      <c r="B113" s="80">
        <v>105</v>
      </c>
      <c r="C113" s="84" t="s">
        <v>33</v>
      </c>
      <c r="D113" s="82" t="s">
        <v>622</v>
      </c>
      <c r="E113" s="83">
        <v>6711</v>
      </c>
      <c r="F113" s="83" t="s">
        <v>28</v>
      </c>
      <c r="G113" s="83" t="s">
        <v>57</v>
      </c>
      <c r="H113" s="83" t="s">
        <v>14</v>
      </c>
      <c r="I113" s="83" t="s">
        <v>19</v>
      </c>
      <c r="J113" s="83">
        <v>45</v>
      </c>
      <c r="K113" s="83"/>
      <c r="L113" s="83" t="s">
        <v>26</v>
      </c>
      <c r="M113" s="83" t="s">
        <v>60</v>
      </c>
      <c r="N113" s="85">
        <v>45936</v>
      </c>
      <c r="O113" s="86" t="s">
        <v>25</v>
      </c>
      <c r="P113" s="85" t="s">
        <v>20</v>
      </c>
      <c r="Q113" s="87"/>
      <c r="R113" s="87"/>
      <c r="S113" s="30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</row>
    <row r="114" spans="2:37" ht="16.2" x14ac:dyDescent="0.3">
      <c r="B114" s="80">
        <v>106</v>
      </c>
      <c r="C114" s="84" t="s">
        <v>621</v>
      </c>
      <c r="D114" s="82" t="s">
        <v>620</v>
      </c>
      <c r="E114" s="83">
        <v>6710</v>
      </c>
      <c r="F114" s="83" t="s">
        <v>16</v>
      </c>
      <c r="G114" s="83" t="s">
        <v>46</v>
      </c>
      <c r="H114" s="83" t="s">
        <v>14</v>
      </c>
      <c r="I114" s="83" t="s">
        <v>19</v>
      </c>
      <c r="J114" s="83">
        <v>40</v>
      </c>
      <c r="K114" s="84"/>
      <c r="L114" s="83" t="s">
        <v>26</v>
      </c>
      <c r="M114" s="83" t="s">
        <v>60</v>
      </c>
      <c r="N114" s="85">
        <v>45936</v>
      </c>
      <c r="O114" s="86" t="s">
        <v>10</v>
      </c>
      <c r="P114" s="85" t="s">
        <v>0</v>
      </c>
      <c r="Q114" s="87"/>
      <c r="R114" s="87"/>
      <c r="S114" s="30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</row>
    <row r="115" spans="2:37" ht="16.2" x14ac:dyDescent="0.3">
      <c r="B115" s="80">
        <v>107</v>
      </c>
      <c r="C115" s="84" t="s">
        <v>619</v>
      </c>
      <c r="D115" s="82" t="s">
        <v>618</v>
      </c>
      <c r="E115" s="83">
        <v>6709</v>
      </c>
      <c r="F115" s="83" t="s">
        <v>28</v>
      </c>
      <c r="G115" s="83" t="s">
        <v>37</v>
      </c>
      <c r="H115" s="83" t="s">
        <v>14</v>
      </c>
      <c r="I115" s="83" t="s">
        <v>19</v>
      </c>
      <c r="J115" s="83">
        <v>45</v>
      </c>
      <c r="K115" s="84"/>
      <c r="L115" s="83" t="s">
        <v>12</v>
      </c>
      <c r="M115" s="83" t="s">
        <v>60</v>
      </c>
      <c r="N115" s="85">
        <v>45936</v>
      </c>
      <c r="O115" s="86" t="s">
        <v>10</v>
      </c>
      <c r="P115" s="85" t="s">
        <v>20</v>
      </c>
      <c r="Q115" s="87"/>
      <c r="R115" s="87"/>
      <c r="S115" s="30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</row>
    <row r="116" spans="2:37" ht="16.2" customHeight="1" x14ac:dyDescent="0.3">
      <c r="B116" s="80">
        <v>108</v>
      </c>
      <c r="C116" s="84" t="s">
        <v>617</v>
      </c>
      <c r="D116" s="82" t="s">
        <v>616</v>
      </c>
      <c r="E116" s="83">
        <v>6708</v>
      </c>
      <c r="F116" s="83" t="s">
        <v>16</v>
      </c>
      <c r="G116" s="83" t="s">
        <v>37</v>
      </c>
      <c r="H116" s="83" t="s">
        <v>14</v>
      </c>
      <c r="I116" s="83" t="s">
        <v>19</v>
      </c>
      <c r="J116" s="83">
        <v>40</v>
      </c>
      <c r="K116" s="83"/>
      <c r="L116" s="83" t="s">
        <v>26</v>
      </c>
      <c r="M116" s="83" t="s">
        <v>60</v>
      </c>
      <c r="N116" s="89">
        <v>45936</v>
      </c>
      <c r="O116" s="89" t="s">
        <v>10</v>
      </c>
      <c r="P116" s="88" t="s">
        <v>20</v>
      </c>
      <c r="Q116" s="90"/>
      <c r="R116" s="90"/>
      <c r="S116" s="30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</row>
    <row r="117" spans="2:37" ht="16.2" x14ac:dyDescent="0.3">
      <c r="B117" s="80">
        <v>109</v>
      </c>
      <c r="C117" s="84" t="s">
        <v>615</v>
      </c>
      <c r="D117" s="82" t="s">
        <v>614</v>
      </c>
      <c r="E117" s="83">
        <v>6707</v>
      </c>
      <c r="F117" s="83" t="s">
        <v>28</v>
      </c>
      <c r="G117" s="83" t="s">
        <v>27</v>
      </c>
      <c r="H117" s="83" t="s">
        <v>14</v>
      </c>
      <c r="I117" s="83" t="s">
        <v>56</v>
      </c>
      <c r="J117" s="83">
        <v>54.38</v>
      </c>
      <c r="K117" s="83"/>
      <c r="L117" s="83" t="s">
        <v>12</v>
      </c>
      <c r="M117" s="83" t="s">
        <v>60</v>
      </c>
      <c r="N117" s="89">
        <v>45936</v>
      </c>
      <c r="O117" s="89" t="s">
        <v>10</v>
      </c>
      <c r="P117" s="88" t="s">
        <v>20</v>
      </c>
      <c r="Q117" s="90"/>
      <c r="R117" s="90"/>
      <c r="S117" s="30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</row>
    <row r="118" spans="2:37" ht="16.2" x14ac:dyDescent="0.3">
      <c r="B118" s="80">
        <v>110</v>
      </c>
      <c r="C118" s="84" t="s">
        <v>613</v>
      </c>
      <c r="D118" s="82" t="s">
        <v>612</v>
      </c>
      <c r="E118" s="83">
        <v>6706</v>
      </c>
      <c r="F118" s="83" t="s">
        <v>16</v>
      </c>
      <c r="G118" s="83" t="s">
        <v>97</v>
      </c>
      <c r="H118" s="83" t="s">
        <v>14</v>
      </c>
      <c r="I118" s="83" t="s">
        <v>56</v>
      </c>
      <c r="J118" s="83">
        <v>50</v>
      </c>
      <c r="K118" s="83"/>
      <c r="L118" s="83" t="s">
        <v>12</v>
      </c>
      <c r="M118" s="83" t="s">
        <v>60</v>
      </c>
      <c r="N118" s="89">
        <v>45936</v>
      </c>
      <c r="O118" s="89" t="s">
        <v>25</v>
      </c>
      <c r="P118" s="88" t="s">
        <v>20</v>
      </c>
      <c r="Q118" s="90"/>
      <c r="R118" s="90"/>
      <c r="S118" s="30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</row>
    <row r="119" spans="2:37" ht="16.2" x14ac:dyDescent="0.3">
      <c r="B119" s="80">
        <v>111</v>
      </c>
      <c r="C119" s="84" t="s">
        <v>611</v>
      </c>
      <c r="D119" s="82" t="s">
        <v>610</v>
      </c>
      <c r="E119" s="83">
        <v>6705</v>
      </c>
      <c r="F119" s="83" t="s">
        <v>28</v>
      </c>
      <c r="G119" s="83" t="s">
        <v>77</v>
      </c>
      <c r="H119" s="83" t="s">
        <v>14</v>
      </c>
      <c r="I119" s="83" t="s">
        <v>19</v>
      </c>
      <c r="J119" s="83">
        <v>40</v>
      </c>
      <c r="K119" s="83"/>
      <c r="L119" s="83" t="s">
        <v>12</v>
      </c>
      <c r="M119" s="83" t="s">
        <v>60</v>
      </c>
      <c r="N119" s="89">
        <v>45936</v>
      </c>
      <c r="O119" s="89" t="s">
        <v>10</v>
      </c>
      <c r="P119" s="88" t="s">
        <v>0</v>
      </c>
      <c r="Q119" s="90"/>
      <c r="R119" s="90"/>
      <c r="S119" s="30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</row>
    <row r="120" spans="2:37" ht="16.2" x14ac:dyDescent="0.3">
      <c r="B120" s="80">
        <v>112</v>
      </c>
      <c r="C120" s="84" t="s">
        <v>609</v>
      </c>
      <c r="D120" s="82" t="s">
        <v>608</v>
      </c>
      <c r="E120" s="83">
        <v>6704</v>
      </c>
      <c r="F120" s="83" t="s">
        <v>28</v>
      </c>
      <c r="G120" s="83" t="s">
        <v>46</v>
      </c>
      <c r="H120" s="83" t="s">
        <v>14</v>
      </c>
      <c r="I120" s="83" t="s">
        <v>19</v>
      </c>
      <c r="J120" s="83">
        <v>40</v>
      </c>
      <c r="K120" s="83"/>
      <c r="L120" s="83" t="s">
        <v>26</v>
      </c>
      <c r="M120" s="83" t="s">
        <v>60</v>
      </c>
      <c r="N120" s="89">
        <v>45936</v>
      </c>
      <c r="O120" s="89" t="s">
        <v>10</v>
      </c>
      <c r="P120" s="88" t="s">
        <v>0</v>
      </c>
      <c r="Q120" s="90"/>
      <c r="R120" s="90"/>
      <c r="S120" s="30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</row>
    <row r="121" spans="2:37" ht="16.2" x14ac:dyDescent="0.3">
      <c r="B121" s="80">
        <v>113</v>
      </c>
      <c r="C121" s="84" t="s">
        <v>607</v>
      </c>
      <c r="D121" s="82" t="s">
        <v>606</v>
      </c>
      <c r="E121" s="83">
        <v>6703</v>
      </c>
      <c r="F121" s="83" t="s">
        <v>28</v>
      </c>
      <c r="G121" s="84" t="s">
        <v>301</v>
      </c>
      <c r="H121" s="83" t="s">
        <v>14</v>
      </c>
      <c r="I121" s="83" t="s">
        <v>19</v>
      </c>
      <c r="J121" s="83">
        <v>73.680000000000007</v>
      </c>
      <c r="K121" s="83"/>
      <c r="L121" s="83"/>
      <c r="M121" s="83" t="s">
        <v>60</v>
      </c>
      <c r="N121" s="89">
        <v>45936</v>
      </c>
      <c r="O121" s="89" t="s">
        <v>25</v>
      </c>
      <c r="P121" s="88" t="s">
        <v>20</v>
      </c>
      <c r="Q121" s="90"/>
      <c r="R121" s="90"/>
      <c r="S121" s="30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</row>
    <row r="122" spans="2:37" ht="16.2" x14ac:dyDescent="0.3">
      <c r="B122" s="80">
        <v>114</v>
      </c>
      <c r="C122" s="84" t="s">
        <v>605</v>
      </c>
      <c r="D122" s="82" t="s">
        <v>604</v>
      </c>
      <c r="E122" s="83">
        <v>6701</v>
      </c>
      <c r="F122" s="83" t="s">
        <v>28</v>
      </c>
      <c r="G122" s="83" t="s">
        <v>27</v>
      </c>
      <c r="H122" s="83" t="s">
        <v>14</v>
      </c>
      <c r="I122" s="83" t="s">
        <v>19</v>
      </c>
      <c r="J122" s="83">
        <v>55</v>
      </c>
      <c r="K122" s="83"/>
      <c r="L122" s="83" t="s">
        <v>12</v>
      </c>
      <c r="M122" s="83" t="s">
        <v>60</v>
      </c>
      <c r="N122" s="89">
        <v>45936</v>
      </c>
      <c r="O122" s="89" t="s">
        <v>10</v>
      </c>
      <c r="P122" s="88" t="s">
        <v>20</v>
      </c>
      <c r="Q122" s="90"/>
      <c r="R122" s="90"/>
      <c r="S122" s="30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</row>
    <row r="123" spans="2:37" ht="16.2" x14ac:dyDescent="0.3">
      <c r="B123" s="80">
        <v>115</v>
      </c>
      <c r="C123" s="97" t="s">
        <v>603</v>
      </c>
      <c r="D123" s="104" t="s">
        <v>602</v>
      </c>
      <c r="E123" s="105">
        <v>6700</v>
      </c>
      <c r="F123" s="97" t="s">
        <v>16</v>
      </c>
      <c r="G123" s="97" t="s">
        <v>77</v>
      </c>
      <c r="H123" s="97" t="s">
        <v>14</v>
      </c>
      <c r="I123" s="97" t="s">
        <v>19</v>
      </c>
      <c r="J123" s="97">
        <v>40</v>
      </c>
      <c r="K123" s="97"/>
      <c r="L123" s="97" t="s">
        <v>26</v>
      </c>
      <c r="M123" s="97" t="s">
        <v>60</v>
      </c>
      <c r="N123" s="85">
        <v>45936</v>
      </c>
      <c r="O123" s="86" t="s">
        <v>10</v>
      </c>
      <c r="P123" s="97" t="s">
        <v>0</v>
      </c>
      <c r="Q123" s="91"/>
      <c r="R123" s="91"/>
      <c r="S123" s="30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</row>
    <row r="124" spans="2:37" ht="16.2" x14ac:dyDescent="0.3">
      <c r="B124" s="80">
        <v>116</v>
      </c>
      <c r="C124" s="97" t="s">
        <v>601</v>
      </c>
      <c r="D124" s="104" t="s">
        <v>600</v>
      </c>
      <c r="E124" s="105">
        <v>6699</v>
      </c>
      <c r="F124" s="97" t="s">
        <v>16</v>
      </c>
      <c r="G124" s="97" t="s">
        <v>50</v>
      </c>
      <c r="H124" s="97" t="s">
        <v>14</v>
      </c>
      <c r="I124" s="97" t="s">
        <v>19</v>
      </c>
      <c r="J124" s="97">
        <v>40</v>
      </c>
      <c r="K124" s="97"/>
      <c r="L124" s="97" t="s">
        <v>26</v>
      </c>
      <c r="M124" s="97" t="s">
        <v>60</v>
      </c>
      <c r="N124" s="85">
        <v>45936</v>
      </c>
      <c r="O124" s="86" t="s">
        <v>10</v>
      </c>
      <c r="P124" s="97" t="s">
        <v>9</v>
      </c>
      <c r="Q124" s="91"/>
      <c r="R124" s="91"/>
      <c r="S124" s="30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</row>
    <row r="125" spans="2:37" ht="16.2" customHeight="1" x14ac:dyDescent="0.3">
      <c r="B125" s="80">
        <v>117</v>
      </c>
      <c r="C125" s="84" t="s">
        <v>599</v>
      </c>
      <c r="D125" s="82" t="s">
        <v>598</v>
      </c>
      <c r="E125" s="83">
        <v>6696</v>
      </c>
      <c r="F125" s="83" t="s">
        <v>28</v>
      </c>
      <c r="G125" s="83" t="s">
        <v>201</v>
      </c>
      <c r="H125" s="83" t="s">
        <v>14</v>
      </c>
      <c r="I125" s="83" t="s">
        <v>19</v>
      </c>
      <c r="J125" s="83">
        <v>40</v>
      </c>
      <c r="K125" s="84"/>
      <c r="L125" s="83" t="s">
        <v>26</v>
      </c>
      <c r="M125" s="83" t="s">
        <v>60</v>
      </c>
      <c r="N125" s="85">
        <v>45936</v>
      </c>
      <c r="O125" s="86" t="s">
        <v>10</v>
      </c>
      <c r="P125" s="85" t="s">
        <v>9</v>
      </c>
      <c r="Q125" s="87"/>
      <c r="R125" s="87"/>
      <c r="S125" s="30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</row>
    <row r="126" spans="2:37" ht="16.2" customHeight="1" x14ac:dyDescent="0.3">
      <c r="B126" s="80">
        <v>118</v>
      </c>
      <c r="C126" s="84" t="s">
        <v>597</v>
      </c>
      <c r="D126" s="82" t="s">
        <v>596</v>
      </c>
      <c r="E126" s="83">
        <v>6698</v>
      </c>
      <c r="F126" s="83" t="s">
        <v>28</v>
      </c>
      <c r="G126" s="83" t="s">
        <v>83</v>
      </c>
      <c r="H126" s="83" t="s">
        <v>14</v>
      </c>
      <c r="I126" s="83" t="s">
        <v>19</v>
      </c>
      <c r="J126" s="83">
        <v>40</v>
      </c>
      <c r="K126" s="83"/>
      <c r="L126" s="83" t="s">
        <v>26</v>
      </c>
      <c r="M126" s="83" t="s">
        <v>60</v>
      </c>
      <c r="N126" s="85">
        <v>45936</v>
      </c>
      <c r="O126" s="86" t="s">
        <v>10</v>
      </c>
      <c r="P126" s="85" t="s">
        <v>9</v>
      </c>
      <c r="Q126" s="87"/>
      <c r="R126" s="87"/>
      <c r="S126" s="30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</row>
    <row r="127" spans="2:37" ht="16.2" x14ac:dyDescent="0.3">
      <c r="B127" s="80">
        <v>119</v>
      </c>
      <c r="C127" s="84" t="s">
        <v>595</v>
      </c>
      <c r="D127" s="82" t="s">
        <v>594</v>
      </c>
      <c r="E127" s="83">
        <v>6695</v>
      </c>
      <c r="F127" s="83" t="s">
        <v>28</v>
      </c>
      <c r="G127" s="83" t="s">
        <v>77</v>
      </c>
      <c r="H127" s="83" t="s">
        <v>14</v>
      </c>
      <c r="I127" s="83" t="s">
        <v>19</v>
      </c>
      <c r="J127" s="83">
        <v>35</v>
      </c>
      <c r="K127" s="83"/>
      <c r="L127" s="83" t="s">
        <v>12</v>
      </c>
      <c r="M127" s="83" t="s">
        <v>60</v>
      </c>
      <c r="N127" s="85">
        <v>45936</v>
      </c>
      <c r="O127" s="86" t="s">
        <v>10</v>
      </c>
      <c r="P127" s="85" t="s">
        <v>0</v>
      </c>
      <c r="Q127" s="87"/>
      <c r="R127" s="87"/>
      <c r="S127" s="30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</row>
    <row r="128" spans="2:37" ht="16.2" x14ac:dyDescent="0.3">
      <c r="B128" s="80">
        <v>120</v>
      </c>
      <c r="C128" s="84" t="s">
        <v>593</v>
      </c>
      <c r="D128" s="82" t="s">
        <v>592</v>
      </c>
      <c r="E128" s="83">
        <v>6694</v>
      </c>
      <c r="F128" s="83" t="s">
        <v>16</v>
      </c>
      <c r="G128" s="83" t="s">
        <v>15</v>
      </c>
      <c r="H128" s="83" t="s">
        <v>14</v>
      </c>
      <c r="I128" s="83" t="s">
        <v>19</v>
      </c>
      <c r="J128" s="83">
        <v>35</v>
      </c>
      <c r="K128" s="83"/>
      <c r="L128" s="83" t="s">
        <v>12</v>
      </c>
      <c r="M128" s="83" t="s">
        <v>60</v>
      </c>
      <c r="N128" s="85">
        <v>45936</v>
      </c>
      <c r="O128" s="86" t="s">
        <v>10</v>
      </c>
      <c r="P128" s="85" t="s">
        <v>9</v>
      </c>
      <c r="Q128" s="87"/>
      <c r="R128" s="87"/>
      <c r="S128" s="30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</row>
    <row r="129" spans="2:37" ht="16.2" x14ac:dyDescent="0.3">
      <c r="B129" s="80">
        <v>121</v>
      </c>
      <c r="C129" s="84" t="s">
        <v>593</v>
      </c>
      <c r="D129" s="82" t="s">
        <v>592</v>
      </c>
      <c r="E129" s="83">
        <v>6693</v>
      </c>
      <c r="F129" s="83" t="s">
        <v>16</v>
      </c>
      <c r="G129" s="84" t="s">
        <v>15</v>
      </c>
      <c r="H129" s="83" t="s">
        <v>14</v>
      </c>
      <c r="I129" s="83" t="s">
        <v>19</v>
      </c>
      <c r="J129" s="83">
        <v>35</v>
      </c>
      <c r="K129" s="83"/>
      <c r="L129" s="83" t="s">
        <v>12</v>
      </c>
      <c r="M129" s="83" t="s">
        <v>60</v>
      </c>
      <c r="N129" s="85">
        <v>45936</v>
      </c>
      <c r="O129" s="86" t="s">
        <v>10</v>
      </c>
      <c r="P129" s="85" t="s">
        <v>9</v>
      </c>
      <c r="Q129" s="87"/>
      <c r="R129" s="87"/>
      <c r="S129" s="30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</row>
    <row r="130" spans="2:37" ht="16.2" x14ac:dyDescent="0.3">
      <c r="B130" s="80">
        <v>122</v>
      </c>
      <c r="C130" s="84" t="s">
        <v>591</v>
      </c>
      <c r="D130" s="82" t="s">
        <v>590</v>
      </c>
      <c r="E130" s="83">
        <v>6692</v>
      </c>
      <c r="F130" s="83" t="s">
        <v>16</v>
      </c>
      <c r="G130" s="83" t="s">
        <v>201</v>
      </c>
      <c r="H130" s="83" t="s">
        <v>14</v>
      </c>
      <c r="I130" s="83" t="s">
        <v>19</v>
      </c>
      <c r="J130" s="83">
        <v>40</v>
      </c>
      <c r="K130" s="84"/>
      <c r="L130" s="83" t="s">
        <v>26</v>
      </c>
      <c r="M130" s="88" t="s">
        <v>60</v>
      </c>
      <c r="N130" s="85">
        <v>45936</v>
      </c>
      <c r="O130" s="86" t="s">
        <v>10</v>
      </c>
      <c r="P130" s="85" t="s">
        <v>9</v>
      </c>
      <c r="Q130" s="87"/>
      <c r="R130" s="87"/>
      <c r="S130" s="30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</row>
    <row r="131" spans="2:37" ht="16.2" x14ac:dyDescent="0.3">
      <c r="B131" s="80">
        <v>123</v>
      </c>
      <c r="C131" s="84" t="s">
        <v>589</v>
      </c>
      <c r="D131" s="82" t="s">
        <v>588</v>
      </c>
      <c r="E131" s="83">
        <v>6691</v>
      </c>
      <c r="F131" s="83" t="s">
        <v>28</v>
      </c>
      <c r="G131" s="83" t="s">
        <v>46</v>
      </c>
      <c r="H131" s="83" t="s">
        <v>14</v>
      </c>
      <c r="I131" s="83" t="s">
        <v>19</v>
      </c>
      <c r="J131" s="83">
        <v>40</v>
      </c>
      <c r="K131" s="84"/>
      <c r="L131" s="83" t="s">
        <v>26</v>
      </c>
      <c r="M131" s="83" t="s">
        <v>60</v>
      </c>
      <c r="N131" s="85">
        <v>45936</v>
      </c>
      <c r="O131" s="86" t="s">
        <v>10</v>
      </c>
      <c r="P131" s="85" t="s">
        <v>0</v>
      </c>
      <c r="Q131" s="87"/>
      <c r="R131" s="87"/>
      <c r="S131" s="30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</row>
    <row r="132" spans="2:37" ht="16.2" x14ac:dyDescent="0.3">
      <c r="B132" s="80">
        <v>124</v>
      </c>
      <c r="C132" s="84" t="s">
        <v>587</v>
      </c>
      <c r="D132" s="82" t="s">
        <v>586</v>
      </c>
      <c r="E132" s="83">
        <v>6690</v>
      </c>
      <c r="F132" s="83" t="s">
        <v>16</v>
      </c>
      <c r="G132" s="83" t="s">
        <v>80</v>
      </c>
      <c r="H132" s="83" t="s">
        <v>14</v>
      </c>
      <c r="I132" s="83" t="s">
        <v>19</v>
      </c>
      <c r="J132" s="83">
        <v>40</v>
      </c>
      <c r="K132" s="84"/>
      <c r="L132" s="83" t="s">
        <v>26</v>
      </c>
      <c r="M132" s="83" t="s">
        <v>60</v>
      </c>
      <c r="N132" s="85">
        <v>45936</v>
      </c>
      <c r="O132" s="86" t="s">
        <v>10</v>
      </c>
      <c r="P132" s="85" t="s">
        <v>9</v>
      </c>
      <c r="Q132" s="87"/>
      <c r="R132" s="87"/>
      <c r="S132" s="30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</row>
    <row r="133" spans="2:37" ht="16.2" x14ac:dyDescent="0.3">
      <c r="B133" s="80">
        <v>125</v>
      </c>
      <c r="C133" s="84" t="s">
        <v>585</v>
      </c>
      <c r="D133" s="82" t="s">
        <v>584</v>
      </c>
      <c r="E133" s="83">
        <v>6689</v>
      </c>
      <c r="F133" s="83" t="s">
        <v>28</v>
      </c>
      <c r="G133" s="83" t="s">
        <v>46</v>
      </c>
      <c r="H133" s="83" t="s">
        <v>14</v>
      </c>
      <c r="I133" s="83" t="s">
        <v>19</v>
      </c>
      <c r="J133" s="83">
        <v>40</v>
      </c>
      <c r="K133" s="84"/>
      <c r="L133" s="83" t="s">
        <v>12</v>
      </c>
      <c r="M133" s="83" t="s">
        <v>60</v>
      </c>
      <c r="N133" s="85">
        <v>45936</v>
      </c>
      <c r="O133" s="86" t="s">
        <v>10</v>
      </c>
      <c r="P133" s="85" t="s">
        <v>0</v>
      </c>
      <c r="Q133" s="87"/>
      <c r="R133" s="87"/>
      <c r="S133" s="30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</row>
    <row r="134" spans="2:37" ht="16.2" x14ac:dyDescent="0.3">
      <c r="B134" s="80">
        <v>126</v>
      </c>
      <c r="C134" s="84" t="s">
        <v>583</v>
      </c>
      <c r="D134" s="82" t="s">
        <v>582</v>
      </c>
      <c r="E134" s="83">
        <v>6688</v>
      </c>
      <c r="F134" s="83" t="s">
        <v>28</v>
      </c>
      <c r="G134" s="83" t="s">
        <v>46</v>
      </c>
      <c r="H134" s="83" t="s">
        <v>14</v>
      </c>
      <c r="I134" s="83" t="s">
        <v>19</v>
      </c>
      <c r="J134" s="83">
        <v>40</v>
      </c>
      <c r="K134" s="84"/>
      <c r="L134" s="83" t="s">
        <v>26</v>
      </c>
      <c r="M134" s="83" t="s">
        <v>60</v>
      </c>
      <c r="N134" s="85">
        <v>45936</v>
      </c>
      <c r="O134" s="86" t="s">
        <v>10</v>
      </c>
      <c r="P134" s="85" t="s">
        <v>0</v>
      </c>
      <c r="Q134" s="87"/>
      <c r="R134" s="87"/>
      <c r="S134" s="30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</row>
    <row r="135" spans="2:37" ht="16.2" customHeight="1" x14ac:dyDescent="0.3">
      <c r="B135" s="80">
        <v>127</v>
      </c>
      <c r="C135" s="84" t="s">
        <v>581</v>
      </c>
      <c r="D135" s="82" t="s">
        <v>580</v>
      </c>
      <c r="E135" s="83">
        <v>6687</v>
      </c>
      <c r="F135" s="83" t="s">
        <v>16</v>
      </c>
      <c r="G135" s="83" t="s">
        <v>37</v>
      </c>
      <c r="H135" s="83" t="s">
        <v>14</v>
      </c>
      <c r="I135" s="83" t="s">
        <v>19</v>
      </c>
      <c r="J135" s="83">
        <v>45</v>
      </c>
      <c r="K135" s="84"/>
      <c r="L135" s="83" t="s">
        <v>26</v>
      </c>
      <c r="M135" s="83" t="s">
        <v>60</v>
      </c>
      <c r="N135" s="85">
        <v>45936</v>
      </c>
      <c r="O135" s="86" t="s">
        <v>10</v>
      </c>
      <c r="P135" s="85" t="s">
        <v>20</v>
      </c>
      <c r="Q135" s="87"/>
      <c r="R135" s="87"/>
      <c r="S135" s="30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</row>
    <row r="136" spans="2:37" ht="16.2" x14ac:dyDescent="0.3">
      <c r="B136" s="80">
        <v>128</v>
      </c>
      <c r="C136" s="84" t="s">
        <v>62</v>
      </c>
      <c r="D136" s="82" t="s">
        <v>579</v>
      </c>
      <c r="E136" s="83">
        <v>6686</v>
      </c>
      <c r="F136" s="83" t="s">
        <v>16</v>
      </c>
      <c r="G136" s="83" t="s">
        <v>140</v>
      </c>
      <c r="H136" s="83" t="s">
        <v>14</v>
      </c>
      <c r="I136" s="83" t="s">
        <v>19</v>
      </c>
      <c r="J136" s="83">
        <v>55</v>
      </c>
      <c r="K136" s="84"/>
      <c r="L136" s="83" t="s">
        <v>26</v>
      </c>
      <c r="M136" s="83" t="s">
        <v>60</v>
      </c>
      <c r="N136" s="85">
        <v>45936</v>
      </c>
      <c r="O136" s="86" t="s">
        <v>25</v>
      </c>
      <c r="P136" s="85" t="s">
        <v>20</v>
      </c>
      <c r="Q136" s="87"/>
      <c r="R136" s="87"/>
      <c r="S136" s="30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</row>
    <row r="137" spans="2:37" ht="16.2" x14ac:dyDescent="0.3">
      <c r="B137" s="80">
        <v>129</v>
      </c>
      <c r="C137" s="84" t="s">
        <v>578</v>
      </c>
      <c r="D137" s="82" t="s">
        <v>577</v>
      </c>
      <c r="E137" s="83">
        <v>6685</v>
      </c>
      <c r="F137" s="83" t="s">
        <v>16</v>
      </c>
      <c r="G137" s="84" t="s">
        <v>140</v>
      </c>
      <c r="H137" s="83" t="s">
        <v>14</v>
      </c>
      <c r="I137" s="83" t="s">
        <v>19</v>
      </c>
      <c r="J137" s="83">
        <v>55</v>
      </c>
      <c r="K137" s="84"/>
      <c r="L137" s="83" t="s">
        <v>26</v>
      </c>
      <c r="M137" s="83" t="s">
        <v>60</v>
      </c>
      <c r="N137" s="85">
        <v>45936</v>
      </c>
      <c r="O137" s="86" t="s">
        <v>25</v>
      </c>
      <c r="P137" s="85" t="s">
        <v>20</v>
      </c>
      <c r="Q137" s="87"/>
      <c r="R137" s="87"/>
      <c r="S137" s="30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</row>
    <row r="138" spans="2:37" ht="16.2" x14ac:dyDescent="0.3">
      <c r="B138" s="80">
        <v>130</v>
      </c>
      <c r="C138" s="84" t="s">
        <v>576</v>
      </c>
      <c r="D138" s="82" t="s">
        <v>575</v>
      </c>
      <c r="E138" s="83">
        <v>6684</v>
      </c>
      <c r="F138" s="83" t="s">
        <v>28</v>
      </c>
      <c r="G138" s="83" t="s">
        <v>15</v>
      </c>
      <c r="H138" s="83" t="s">
        <v>14</v>
      </c>
      <c r="I138" s="83" t="s">
        <v>19</v>
      </c>
      <c r="J138" s="83">
        <v>40</v>
      </c>
      <c r="K138" s="84"/>
      <c r="L138" s="83" t="s">
        <v>26</v>
      </c>
      <c r="M138" s="83" t="s">
        <v>60</v>
      </c>
      <c r="N138" s="85">
        <v>45936</v>
      </c>
      <c r="O138" s="86" t="s">
        <v>10</v>
      </c>
      <c r="P138" s="85" t="s">
        <v>9</v>
      </c>
      <c r="Q138" s="87"/>
      <c r="R138" s="87"/>
      <c r="S138" s="30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</row>
    <row r="139" spans="2:37" ht="16.2" x14ac:dyDescent="0.3">
      <c r="B139" s="80">
        <v>131</v>
      </c>
      <c r="C139" s="97" t="s">
        <v>574</v>
      </c>
      <c r="D139" s="104" t="s">
        <v>573</v>
      </c>
      <c r="E139" s="105">
        <v>6683</v>
      </c>
      <c r="F139" s="97" t="s">
        <v>16</v>
      </c>
      <c r="G139" s="97" t="s">
        <v>37</v>
      </c>
      <c r="H139" s="97" t="s">
        <v>14</v>
      </c>
      <c r="I139" s="97" t="s">
        <v>19</v>
      </c>
      <c r="J139" s="97">
        <v>45</v>
      </c>
      <c r="K139" s="97"/>
      <c r="L139" s="97" t="s">
        <v>26</v>
      </c>
      <c r="M139" s="97" t="s">
        <v>60</v>
      </c>
      <c r="N139" s="85">
        <v>45936</v>
      </c>
      <c r="O139" s="86" t="s">
        <v>10</v>
      </c>
      <c r="P139" s="97" t="s">
        <v>20</v>
      </c>
      <c r="Q139" s="91"/>
      <c r="R139" s="91"/>
      <c r="S139" s="30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</row>
    <row r="140" spans="2:37" ht="16.2" x14ac:dyDescent="0.3">
      <c r="B140" s="80">
        <v>132</v>
      </c>
      <c r="C140" s="84" t="s">
        <v>572</v>
      </c>
      <c r="D140" s="82" t="s">
        <v>571</v>
      </c>
      <c r="E140" s="83">
        <v>6681</v>
      </c>
      <c r="F140" s="83" t="s">
        <v>16</v>
      </c>
      <c r="G140" s="83" t="s">
        <v>375</v>
      </c>
      <c r="H140" s="83" t="s">
        <v>14</v>
      </c>
      <c r="I140" s="83" t="s">
        <v>19</v>
      </c>
      <c r="J140" s="83">
        <v>40</v>
      </c>
      <c r="K140" s="84"/>
      <c r="L140" s="83" t="s">
        <v>12</v>
      </c>
      <c r="M140" s="83" t="s">
        <v>60</v>
      </c>
      <c r="N140" s="85">
        <v>45936</v>
      </c>
      <c r="O140" s="86" t="s">
        <v>10</v>
      </c>
      <c r="P140" s="85" t="s">
        <v>20</v>
      </c>
      <c r="Q140" s="87"/>
      <c r="R140" s="87"/>
      <c r="S140" s="30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</row>
    <row r="141" spans="2:37" ht="16.2" x14ac:dyDescent="0.3">
      <c r="B141" s="80">
        <v>133</v>
      </c>
      <c r="C141" s="84" t="s">
        <v>570</v>
      </c>
      <c r="D141" s="82" t="s">
        <v>569</v>
      </c>
      <c r="E141" s="83">
        <v>6680</v>
      </c>
      <c r="F141" s="83" t="s">
        <v>28</v>
      </c>
      <c r="G141" s="83" t="s">
        <v>31</v>
      </c>
      <c r="H141" s="83" t="s">
        <v>14</v>
      </c>
      <c r="I141" s="83" t="s">
        <v>19</v>
      </c>
      <c r="J141" s="83">
        <v>45</v>
      </c>
      <c r="K141" s="84"/>
      <c r="L141" s="83" t="s">
        <v>12</v>
      </c>
      <c r="M141" s="83" t="s">
        <v>60</v>
      </c>
      <c r="N141" s="85">
        <v>45936</v>
      </c>
      <c r="O141" s="86" t="s">
        <v>10</v>
      </c>
      <c r="P141" s="85" t="s">
        <v>20</v>
      </c>
      <c r="Q141" s="87"/>
      <c r="R141" s="87"/>
      <c r="S141" s="30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</row>
    <row r="142" spans="2:37" ht="16.2" x14ac:dyDescent="0.3">
      <c r="B142" s="80">
        <v>134</v>
      </c>
      <c r="C142" s="84" t="s">
        <v>568</v>
      </c>
      <c r="D142" s="82" t="s">
        <v>567</v>
      </c>
      <c r="E142" s="83">
        <v>6679</v>
      </c>
      <c r="F142" s="83" t="s">
        <v>28</v>
      </c>
      <c r="G142" s="83" t="s">
        <v>31</v>
      </c>
      <c r="H142" s="83" t="s">
        <v>14</v>
      </c>
      <c r="I142" s="83" t="s">
        <v>19</v>
      </c>
      <c r="J142" s="83">
        <v>45</v>
      </c>
      <c r="K142" s="84"/>
      <c r="L142" s="83" t="s">
        <v>12</v>
      </c>
      <c r="M142" s="83" t="s">
        <v>60</v>
      </c>
      <c r="N142" s="85">
        <v>45936</v>
      </c>
      <c r="O142" s="86" t="s">
        <v>25</v>
      </c>
      <c r="P142" s="85" t="s">
        <v>20</v>
      </c>
      <c r="Q142" s="87"/>
      <c r="R142" s="87"/>
      <c r="S142" s="30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</row>
    <row r="143" spans="2:37" ht="16.2" x14ac:dyDescent="0.3">
      <c r="B143" s="80">
        <v>135</v>
      </c>
      <c r="C143" s="84" t="s">
        <v>566</v>
      </c>
      <c r="D143" s="82" t="s">
        <v>565</v>
      </c>
      <c r="E143" s="83">
        <v>6747</v>
      </c>
      <c r="F143" s="83" t="s">
        <v>16</v>
      </c>
      <c r="G143" s="83" t="s">
        <v>15</v>
      </c>
      <c r="H143" s="83" t="s">
        <v>14</v>
      </c>
      <c r="I143" s="83" t="s">
        <v>19</v>
      </c>
      <c r="J143" s="83">
        <v>40</v>
      </c>
      <c r="K143" s="84"/>
      <c r="L143" s="83" t="s">
        <v>26</v>
      </c>
      <c r="M143" s="83" t="s">
        <v>60</v>
      </c>
      <c r="N143" s="85">
        <v>45936</v>
      </c>
      <c r="O143" s="86" t="s">
        <v>10</v>
      </c>
      <c r="P143" s="85" t="s">
        <v>9</v>
      </c>
      <c r="Q143" s="91"/>
      <c r="R143" s="87"/>
      <c r="S143" s="30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</row>
    <row r="144" spans="2:37" ht="16.2" x14ac:dyDescent="0.3">
      <c r="B144" s="80">
        <v>136</v>
      </c>
      <c r="C144" s="84" t="s">
        <v>564</v>
      </c>
      <c r="D144" s="82" t="s">
        <v>563</v>
      </c>
      <c r="E144" s="83">
        <v>6748</v>
      </c>
      <c r="F144" s="83" t="s">
        <v>28</v>
      </c>
      <c r="G144" s="83" t="s">
        <v>65</v>
      </c>
      <c r="H144" s="83" t="s">
        <v>14</v>
      </c>
      <c r="I144" s="83" t="s">
        <v>19</v>
      </c>
      <c r="J144" s="83">
        <v>45</v>
      </c>
      <c r="K144" s="84"/>
      <c r="L144" s="83" t="s">
        <v>12</v>
      </c>
      <c r="M144" s="83" t="s">
        <v>60</v>
      </c>
      <c r="N144" s="85">
        <v>45936</v>
      </c>
      <c r="O144" s="86" t="s">
        <v>25</v>
      </c>
      <c r="P144" s="85" t="s">
        <v>20</v>
      </c>
      <c r="Q144" s="91" t="s">
        <v>562</v>
      </c>
      <c r="R144" s="87"/>
      <c r="S144" s="30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</row>
    <row r="145" spans="2:37" ht="16.2" x14ac:dyDescent="0.3">
      <c r="B145" s="80">
        <v>137</v>
      </c>
      <c r="C145" s="84" t="s">
        <v>561</v>
      </c>
      <c r="D145" s="82" t="s">
        <v>560</v>
      </c>
      <c r="E145" s="83">
        <v>6749</v>
      </c>
      <c r="F145" s="83" t="s">
        <v>16</v>
      </c>
      <c r="G145" s="83" t="s">
        <v>100</v>
      </c>
      <c r="H145" s="83" t="s">
        <v>14</v>
      </c>
      <c r="I145" s="83" t="s">
        <v>19</v>
      </c>
      <c r="J145" s="83">
        <v>45</v>
      </c>
      <c r="K145" s="84"/>
      <c r="L145" s="83" t="s">
        <v>12</v>
      </c>
      <c r="M145" s="83" t="s">
        <v>60</v>
      </c>
      <c r="N145" s="85">
        <v>45936</v>
      </c>
      <c r="O145" s="86" t="s">
        <v>25</v>
      </c>
      <c r="P145" s="85" t="s">
        <v>20</v>
      </c>
      <c r="Q145" s="91">
        <v>976661944</v>
      </c>
      <c r="R145" s="87"/>
      <c r="S145" s="30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</row>
    <row r="146" spans="2:37" ht="16.2" x14ac:dyDescent="0.3">
      <c r="B146" s="80">
        <v>138</v>
      </c>
      <c r="C146" s="84" t="s">
        <v>559</v>
      </c>
      <c r="D146" s="82" t="s">
        <v>558</v>
      </c>
      <c r="E146" s="83">
        <v>6750</v>
      </c>
      <c r="F146" s="83" t="s">
        <v>16</v>
      </c>
      <c r="G146" s="83" t="s">
        <v>65</v>
      </c>
      <c r="H146" s="83" t="s">
        <v>14</v>
      </c>
      <c r="I146" s="83" t="s">
        <v>19</v>
      </c>
      <c r="J146" s="83">
        <v>45</v>
      </c>
      <c r="K146" s="84"/>
      <c r="L146" s="83" t="s">
        <v>12</v>
      </c>
      <c r="M146" s="83" t="s">
        <v>60</v>
      </c>
      <c r="N146" s="85">
        <v>45936</v>
      </c>
      <c r="O146" s="86" t="s">
        <v>25</v>
      </c>
      <c r="P146" s="85" t="s">
        <v>20</v>
      </c>
      <c r="Q146" s="91">
        <v>976661944</v>
      </c>
      <c r="R146" s="87"/>
      <c r="S146" s="30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</row>
    <row r="147" spans="2:37" ht="16.2" x14ac:dyDescent="0.3">
      <c r="B147" s="80">
        <v>139</v>
      </c>
      <c r="C147" s="84" t="s">
        <v>557</v>
      </c>
      <c r="D147" s="82" t="s">
        <v>556</v>
      </c>
      <c r="E147" s="100">
        <v>6751</v>
      </c>
      <c r="F147" s="99" t="s">
        <v>28</v>
      </c>
      <c r="G147" s="84" t="s">
        <v>97</v>
      </c>
      <c r="H147" s="84" t="s">
        <v>14</v>
      </c>
      <c r="I147" s="84" t="s">
        <v>19</v>
      </c>
      <c r="J147" s="84">
        <v>80</v>
      </c>
      <c r="K147" s="84"/>
      <c r="L147" s="83" t="s">
        <v>26</v>
      </c>
      <c r="M147" s="99" t="s">
        <v>60</v>
      </c>
      <c r="N147" s="85">
        <v>45936</v>
      </c>
      <c r="O147" s="86" t="s">
        <v>25</v>
      </c>
      <c r="P147" s="85" t="s">
        <v>20</v>
      </c>
      <c r="Q147" s="91"/>
      <c r="R147" s="87"/>
      <c r="S147" s="30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</row>
    <row r="148" spans="2:37" ht="16.2" x14ac:dyDescent="0.3">
      <c r="B148" s="80">
        <v>140</v>
      </c>
      <c r="C148" s="84" t="s">
        <v>555</v>
      </c>
      <c r="D148" s="82" t="s">
        <v>554</v>
      </c>
      <c r="E148" s="83">
        <v>6752</v>
      </c>
      <c r="F148" s="83" t="s">
        <v>28</v>
      </c>
      <c r="G148" s="83" t="s">
        <v>133</v>
      </c>
      <c r="H148" s="83" t="s">
        <v>14</v>
      </c>
      <c r="I148" s="83" t="s">
        <v>19</v>
      </c>
      <c r="J148" s="83">
        <v>35</v>
      </c>
      <c r="K148" s="84"/>
      <c r="L148" s="83" t="s">
        <v>12</v>
      </c>
      <c r="M148" s="83" t="s">
        <v>60</v>
      </c>
      <c r="N148" s="85">
        <v>45936</v>
      </c>
      <c r="O148" s="86" t="s">
        <v>10</v>
      </c>
      <c r="P148" s="85" t="s">
        <v>9</v>
      </c>
      <c r="Q148" s="91">
        <v>998830769</v>
      </c>
      <c r="R148" s="87"/>
      <c r="S148" s="30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</row>
    <row r="149" spans="2:37" ht="16.2" x14ac:dyDescent="0.3">
      <c r="B149" s="80">
        <v>141</v>
      </c>
      <c r="C149" s="84" t="s">
        <v>553</v>
      </c>
      <c r="D149" s="82" t="s">
        <v>552</v>
      </c>
      <c r="E149" s="83">
        <v>6753</v>
      </c>
      <c r="F149" s="83" t="s">
        <v>16</v>
      </c>
      <c r="G149" s="83" t="s">
        <v>50</v>
      </c>
      <c r="H149" s="83" t="s">
        <v>14</v>
      </c>
      <c r="I149" s="83" t="s">
        <v>19</v>
      </c>
      <c r="J149" s="83">
        <v>35</v>
      </c>
      <c r="K149" s="84"/>
      <c r="L149" s="83" t="s">
        <v>12</v>
      </c>
      <c r="M149" s="83" t="s">
        <v>60</v>
      </c>
      <c r="N149" s="85">
        <v>45936</v>
      </c>
      <c r="O149" s="86" t="s">
        <v>10</v>
      </c>
      <c r="P149" s="85" t="s">
        <v>9</v>
      </c>
      <c r="Q149" s="91">
        <v>998830769</v>
      </c>
      <c r="R149" s="87"/>
      <c r="S149" s="30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</row>
    <row r="150" spans="2:37" ht="16.2" customHeight="1" x14ac:dyDescent="0.3">
      <c r="B150" s="80">
        <v>142</v>
      </c>
      <c r="C150" s="84" t="s">
        <v>551</v>
      </c>
      <c r="D150" s="82" t="s">
        <v>550</v>
      </c>
      <c r="E150" s="83">
        <v>6754</v>
      </c>
      <c r="F150" s="83" t="s">
        <v>16</v>
      </c>
      <c r="G150" s="83" t="s">
        <v>15</v>
      </c>
      <c r="H150" s="83" t="s">
        <v>14</v>
      </c>
      <c r="I150" s="83" t="s">
        <v>19</v>
      </c>
      <c r="J150" s="83">
        <v>35</v>
      </c>
      <c r="K150" s="84"/>
      <c r="L150" s="83" t="s">
        <v>12</v>
      </c>
      <c r="M150" s="83" t="s">
        <v>60</v>
      </c>
      <c r="N150" s="85">
        <v>45936</v>
      </c>
      <c r="O150" s="86" t="s">
        <v>10</v>
      </c>
      <c r="P150" s="85" t="s">
        <v>9</v>
      </c>
      <c r="Q150" s="91">
        <v>998830769</v>
      </c>
      <c r="R150" s="87"/>
      <c r="S150" s="30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</row>
    <row r="151" spans="2:37" ht="16.2" x14ac:dyDescent="0.3">
      <c r="B151" s="80">
        <v>143</v>
      </c>
      <c r="C151" s="83" t="s">
        <v>549</v>
      </c>
      <c r="D151" s="82" t="s">
        <v>548</v>
      </c>
      <c r="E151" s="83">
        <v>6755</v>
      </c>
      <c r="F151" s="83" t="s">
        <v>16</v>
      </c>
      <c r="G151" s="83" t="s">
        <v>146</v>
      </c>
      <c r="H151" s="83" t="s">
        <v>14</v>
      </c>
      <c r="I151" s="83" t="s">
        <v>56</v>
      </c>
      <c r="J151" s="83">
        <v>31.84</v>
      </c>
      <c r="K151" s="84"/>
      <c r="L151" s="83" t="s">
        <v>26</v>
      </c>
      <c r="M151" s="83" t="s">
        <v>60</v>
      </c>
      <c r="N151" s="85">
        <v>45936</v>
      </c>
      <c r="O151" s="86" t="s">
        <v>10</v>
      </c>
      <c r="P151" s="85" t="s">
        <v>20</v>
      </c>
      <c r="Q151" s="91"/>
      <c r="R151" s="87"/>
      <c r="S151" s="30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</row>
    <row r="152" spans="2:37" ht="16.2" x14ac:dyDescent="0.3">
      <c r="B152" s="80">
        <v>144</v>
      </c>
      <c r="C152" s="84" t="s">
        <v>547</v>
      </c>
      <c r="D152" s="82" t="s">
        <v>546</v>
      </c>
      <c r="E152" s="83">
        <v>6756</v>
      </c>
      <c r="F152" s="83" t="s">
        <v>28</v>
      </c>
      <c r="G152" s="83" t="s">
        <v>127</v>
      </c>
      <c r="H152" s="83" t="s">
        <v>14</v>
      </c>
      <c r="I152" s="83" t="s">
        <v>19</v>
      </c>
      <c r="J152" s="83">
        <v>50</v>
      </c>
      <c r="K152" s="84"/>
      <c r="L152" s="83" t="s">
        <v>26</v>
      </c>
      <c r="M152" s="83" t="s">
        <v>60</v>
      </c>
      <c r="N152" s="85">
        <v>45936</v>
      </c>
      <c r="O152" s="86" t="s">
        <v>10</v>
      </c>
      <c r="P152" s="85" t="s">
        <v>20</v>
      </c>
      <c r="Q152" s="91">
        <v>976877731</v>
      </c>
      <c r="R152" s="87"/>
      <c r="S152" s="30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</row>
    <row r="153" spans="2:37" ht="16.2" x14ac:dyDescent="0.3">
      <c r="B153" s="80">
        <v>145</v>
      </c>
      <c r="C153" s="84" t="s">
        <v>545</v>
      </c>
      <c r="D153" s="82" t="s">
        <v>544</v>
      </c>
      <c r="E153" s="83">
        <v>6758</v>
      </c>
      <c r="F153" s="83" t="s">
        <v>28</v>
      </c>
      <c r="G153" s="83" t="s">
        <v>37</v>
      </c>
      <c r="H153" s="83" t="s">
        <v>14</v>
      </c>
      <c r="I153" s="83" t="s">
        <v>19</v>
      </c>
      <c r="J153" s="83">
        <v>50</v>
      </c>
      <c r="K153" s="84"/>
      <c r="L153" s="83" t="s">
        <v>12</v>
      </c>
      <c r="M153" s="83" t="s">
        <v>60</v>
      </c>
      <c r="N153" s="85">
        <v>45936</v>
      </c>
      <c r="O153" s="86" t="s">
        <v>10</v>
      </c>
      <c r="P153" s="85" t="s">
        <v>20</v>
      </c>
      <c r="Q153" s="91" t="s">
        <v>543</v>
      </c>
      <c r="R153" s="87"/>
      <c r="S153" s="30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</row>
    <row r="154" spans="2:37" ht="16.2" x14ac:dyDescent="0.3">
      <c r="B154" s="80">
        <v>146</v>
      </c>
      <c r="C154" s="84" t="s">
        <v>542</v>
      </c>
      <c r="D154" s="82" t="s">
        <v>541</v>
      </c>
      <c r="E154" s="83">
        <v>6759</v>
      </c>
      <c r="F154" s="83" t="s">
        <v>28</v>
      </c>
      <c r="G154" s="83" t="s">
        <v>167</v>
      </c>
      <c r="H154" s="83" t="s">
        <v>14</v>
      </c>
      <c r="I154" s="83" t="s">
        <v>19</v>
      </c>
      <c r="J154" s="106">
        <v>80</v>
      </c>
      <c r="K154" s="84"/>
      <c r="L154" s="83" t="s">
        <v>26</v>
      </c>
      <c r="M154" s="83" t="s">
        <v>60</v>
      </c>
      <c r="N154" s="85">
        <v>45936</v>
      </c>
      <c r="O154" s="86" t="s">
        <v>25</v>
      </c>
      <c r="P154" s="85" t="s">
        <v>20</v>
      </c>
      <c r="Q154" s="91">
        <v>979872836</v>
      </c>
      <c r="R154" s="87"/>
      <c r="S154" s="30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</row>
    <row r="155" spans="2:37" ht="16.2" x14ac:dyDescent="0.3">
      <c r="B155" s="80">
        <v>147</v>
      </c>
      <c r="C155" s="84" t="s">
        <v>540</v>
      </c>
      <c r="D155" s="82" t="s">
        <v>539</v>
      </c>
      <c r="E155" s="100">
        <v>6760</v>
      </c>
      <c r="F155" s="99" t="s">
        <v>16</v>
      </c>
      <c r="G155" s="84" t="s">
        <v>164</v>
      </c>
      <c r="H155" s="84" t="s">
        <v>14</v>
      </c>
      <c r="I155" s="84" t="s">
        <v>19</v>
      </c>
      <c r="J155" s="84">
        <v>50</v>
      </c>
      <c r="K155" s="84"/>
      <c r="L155" s="83" t="s">
        <v>12</v>
      </c>
      <c r="M155" s="99" t="s">
        <v>60</v>
      </c>
      <c r="N155" s="85">
        <v>45936</v>
      </c>
      <c r="O155" s="86" t="s">
        <v>25</v>
      </c>
      <c r="P155" s="85" t="s">
        <v>20</v>
      </c>
      <c r="Q155" s="91">
        <v>973434777</v>
      </c>
      <c r="R155" s="87"/>
      <c r="S155" s="30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</row>
    <row r="156" spans="2:37" ht="16.2" x14ac:dyDescent="0.3">
      <c r="B156" s="80">
        <v>148</v>
      </c>
      <c r="C156" s="84" t="s">
        <v>538</v>
      </c>
      <c r="D156" s="82" t="s">
        <v>537</v>
      </c>
      <c r="E156" s="83">
        <v>6761</v>
      </c>
      <c r="F156" s="83" t="s">
        <v>16</v>
      </c>
      <c r="G156" s="83" t="s">
        <v>140</v>
      </c>
      <c r="H156" s="83" t="s">
        <v>14</v>
      </c>
      <c r="I156" s="83" t="s">
        <v>19</v>
      </c>
      <c r="J156" s="83">
        <v>35</v>
      </c>
      <c r="K156" s="84"/>
      <c r="L156" s="83" t="s">
        <v>12</v>
      </c>
      <c r="M156" s="83" t="s">
        <v>60</v>
      </c>
      <c r="N156" s="85">
        <v>45936</v>
      </c>
      <c r="O156" s="86" t="s">
        <v>25</v>
      </c>
      <c r="P156" s="85" t="s">
        <v>20</v>
      </c>
      <c r="Q156" s="91">
        <v>973434777</v>
      </c>
      <c r="R156" s="87"/>
      <c r="S156" s="30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</row>
    <row r="157" spans="2:37" ht="16.2" x14ac:dyDescent="0.3">
      <c r="B157" s="80">
        <v>149</v>
      </c>
      <c r="C157" s="84" t="s">
        <v>536</v>
      </c>
      <c r="D157" s="82" t="s">
        <v>535</v>
      </c>
      <c r="E157" s="83">
        <v>6762</v>
      </c>
      <c r="F157" s="83" t="s">
        <v>28</v>
      </c>
      <c r="G157" s="83" t="s">
        <v>100</v>
      </c>
      <c r="H157" s="83" t="s">
        <v>14</v>
      </c>
      <c r="I157" s="83" t="s">
        <v>19</v>
      </c>
      <c r="J157" s="83">
        <v>35</v>
      </c>
      <c r="K157" s="84"/>
      <c r="L157" s="83" t="s">
        <v>12</v>
      </c>
      <c r="M157" s="83" t="s">
        <v>60</v>
      </c>
      <c r="N157" s="85">
        <v>45936</v>
      </c>
      <c r="O157" s="86" t="s">
        <v>10</v>
      </c>
      <c r="P157" s="85" t="s">
        <v>20</v>
      </c>
      <c r="Q157" s="91">
        <v>973434777</v>
      </c>
      <c r="R157" s="87"/>
      <c r="S157" s="30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</row>
    <row r="158" spans="2:37" ht="16.2" x14ac:dyDescent="0.3">
      <c r="B158" s="80">
        <v>150</v>
      </c>
      <c r="C158" s="84" t="s">
        <v>534</v>
      </c>
      <c r="D158" s="82" t="s">
        <v>533</v>
      </c>
      <c r="E158" s="83">
        <v>6763</v>
      </c>
      <c r="F158" s="84" t="s">
        <v>16</v>
      </c>
      <c r="G158" s="84" t="s">
        <v>273</v>
      </c>
      <c r="H158" s="84" t="s">
        <v>14</v>
      </c>
      <c r="I158" s="84" t="s">
        <v>19</v>
      </c>
      <c r="J158" s="84">
        <v>35</v>
      </c>
      <c r="K158" s="84"/>
      <c r="L158" s="84" t="s">
        <v>12</v>
      </c>
      <c r="M158" s="84" t="s">
        <v>60</v>
      </c>
      <c r="N158" s="85">
        <v>45936</v>
      </c>
      <c r="O158" s="86" t="s">
        <v>10</v>
      </c>
      <c r="P158" s="97" t="s">
        <v>20</v>
      </c>
      <c r="Q158" s="91" t="s">
        <v>532</v>
      </c>
      <c r="R158" s="91"/>
      <c r="S158" s="30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</row>
    <row r="159" spans="2:37" ht="16.2" customHeight="1" x14ac:dyDescent="0.3">
      <c r="B159" s="80">
        <v>151</v>
      </c>
      <c r="C159" s="84" t="s">
        <v>531</v>
      </c>
      <c r="D159" s="82" t="s">
        <v>530</v>
      </c>
      <c r="E159" s="83">
        <v>6765</v>
      </c>
      <c r="F159" s="84" t="s">
        <v>16</v>
      </c>
      <c r="G159" s="84" t="s">
        <v>83</v>
      </c>
      <c r="H159" s="84" t="s">
        <v>14</v>
      </c>
      <c r="I159" s="84" t="s">
        <v>19</v>
      </c>
      <c r="J159" s="84">
        <v>35</v>
      </c>
      <c r="K159" s="84"/>
      <c r="L159" s="84" t="s">
        <v>12</v>
      </c>
      <c r="M159" s="84" t="s">
        <v>60</v>
      </c>
      <c r="N159" s="85">
        <v>45936</v>
      </c>
      <c r="O159" s="86" t="s">
        <v>10</v>
      </c>
      <c r="P159" s="97" t="s">
        <v>9</v>
      </c>
      <c r="Q159" s="91">
        <v>897932777</v>
      </c>
      <c r="R159" s="91"/>
      <c r="S159" s="30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</row>
    <row r="160" spans="2:37" ht="16.2" x14ac:dyDescent="0.3">
      <c r="B160" s="80">
        <v>152</v>
      </c>
      <c r="C160" s="84" t="s">
        <v>529</v>
      </c>
      <c r="D160" s="82" t="s">
        <v>528</v>
      </c>
      <c r="E160" s="83">
        <v>6769</v>
      </c>
      <c r="F160" s="83" t="s">
        <v>16</v>
      </c>
      <c r="G160" s="83" t="s">
        <v>237</v>
      </c>
      <c r="H160" s="83" t="s">
        <v>14</v>
      </c>
      <c r="I160" s="83" t="s">
        <v>19</v>
      </c>
      <c r="J160" s="83">
        <v>55</v>
      </c>
      <c r="K160" s="84"/>
      <c r="L160" s="83" t="s">
        <v>26</v>
      </c>
      <c r="M160" s="83" t="s">
        <v>60</v>
      </c>
      <c r="N160" s="85">
        <v>45936</v>
      </c>
      <c r="O160" s="86" t="s">
        <v>10</v>
      </c>
      <c r="P160" s="85" t="s">
        <v>20</v>
      </c>
      <c r="Q160" s="91">
        <v>997118804</v>
      </c>
      <c r="R160" s="87"/>
      <c r="S160" s="30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</row>
    <row r="161" spans="2:37" ht="16.2" x14ac:dyDescent="0.3">
      <c r="B161" s="80">
        <v>153</v>
      </c>
      <c r="C161" s="84" t="s">
        <v>527</v>
      </c>
      <c r="D161" s="82" t="s">
        <v>526</v>
      </c>
      <c r="E161" s="83">
        <v>6764</v>
      </c>
      <c r="F161" s="83" t="s">
        <v>16</v>
      </c>
      <c r="G161" s="83" t="s">
        <v>22</v>
      </c>
      <c r="H161" s="83" t="s">
        <v>14</v>
      </c>
      <c r="I161" s="83" t="s">
        <v>19</v>
      </c>
      <c r="J161" s="83">
        <v>35</v>
      </c>
      <c r="K161" s="84"/>
      <c r="L161" s="83" t="s">
        <v>12</v>
      </c>
      <c r="M161" s="83" t="s">
        <v>60</v>
      </c>
      <c r="N161" s="85">
        <v>45936</v>
      </c>
      <c r="O161" s="86" t="s">
        <v>10</v>
      </c>
      <c r="P161" s="85" t="s">
        <v>20</v>
      </c>
      <c r="Q161" s="91">
        <v>850156160</v>
      </c>
      <c r="R161" s="87"/>
      <c r="S161" s="30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</row>
    <row r="162" spans="2:37" ht="16.2" x14ac:dyDescent="0.3">
      <c r="B162" s="80">
        <v>154</v>
      </c>
      <c r="C162" s="84" t="s">
        <v>525</v>
      </c>
      <c r="D162" s="82" t="s">
        <v>524</v>
      </c>
      <c r="E162" s="83">
        <v>6770</v>
      </c>
      <c r="F162" s="83" t="s">
        <v>16</v>
      </c>
      <c r="G162" s="83" t="s">
        <v>83</v>
      </c>
      <c r="H162" s="83" t="s">
        <v>14</v>
      </c>
      <c r="I162" s="83" t="s">
        <v>19</v>
      </c>
      <c r="J162" s="83">
        <v>40</v>
      </c>
      <c r="K162" s="84"/>
      <c r="L162" s="83" t="s">
        <v>26</v>
      </c>
      <c r="M162" s="83" t="s">
        <v>60</v>
      </c>
      <c r="N162" s="85">
        <v>45936</v>
      </c>
      <c r="O162" s="86" t="s">
        <v>10</v>
      </c>
      <c r="P162" s="85" t="s">
        <v>9</v>
      </c>
      <c r="Q162" s="91" t="s">
        <v>523</v>
      </c>
      <c r="R162" s="87"/>
      <c r="S162" s="30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</row>
    <row r="163" spans="2:37" ht="16.2" x14ac:dyDescent="0.3">
      <c r="B163" s="80">
        <v>155</v>
      </c>
      <c r="C163" s="84" t="s">
        <v>522</v>
      </c>
      <c r="D163" s="82" t="s">
        <v>521</v>
      </c>
      <c r="E163" s="83">
        <v>6771</v>
      </c>
      <c r="F163" s="83" t="s">
        <v>28</v>
      </c>
      <c r="G163" s="84" t="s">
        <v>50</v>
      </c>
      <c r="H163" s="83" t="s">
        <v>14</v>
      </c>
      <c r="I163" s="83" t="s">
        <v>19</v>
      </c>
      <c r="J163" s="83">
        <v>40</v>
      </c>
      <c r="K163" s="84"/>
      <c r="L163" s="83" t="s">
        <v>26</v>
      </c>
      <c r="M163" s="83" t="s">
        <v>60</v>
      </c>
      <c r="N163" s="85">
        <v>45936</v>
      </c>
      <c r="O163" s="86" t="s">
        <v>10</v>
      </c>
      <c r="P163" s="85" t="s">
        <v>9</v>
      </c>
      <c r="Q163" s="91" t="s">
        <v>520</v>
      </c>
      <c r="R163" s="87"/>
      <c r="S163" s="30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</row>
    <row r="164" spans="2:37" ht="16.2" x14ac:dyDescent="0.3">
      <c r="B164" s="80">
        <v>156</v>
      </c>
      <c r="C164" s="84" t="s">
        <v>519</v>
      </c>
      <c r="D164" s="82" t="s">
        <v>518</v>
      </c>
      <c r="E164" s="83">
        <v>6772</v>
      </c>
      <c r="F164" s="83" t="s">
        <v>16</v>
      </c>
      <c r="G164" s="83" t="s">
        <v>37</v>
      </c>
      <c r="H164" s="83" t="s">
        <v>14</v>
      </c>
      <c r="I164" s="83" t="s">
        <v>19</v>
      </c>
      <c r="J164" s="83">
        <v>45</v>
      </c>
      <c r="K164" s="84"/>
      <c r="L164" s="83" t="s">
        <v>12</v>
      </c>
      <c r="M164" s="83" t="s">
        <v>60</v>
      </c>
      <c r="N164" s="85">
        <v>45936</v>
      </c>
      <c r="O164" s="86" t="s">
        <v>10</v>
      </c>
      <c r="P164" s="85" t="s">
        <v>20</v>
      </c>
      <c r="Q164" s="91">
        <v>896618714</v>
      </c>
      <c r="R164" s="87"/>
      <c r="S164" s="30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</row>
    <row r="165" spans="2:37" ht="16.2" x14ac:dyDescent="0.3">
      <c r="B165" s="80">
        <v>157</v>
      </c>
      <c r="C165" s="84" t="s">
        <v>517</v>
      </c>
      <c r="D165" s="82" t="s">
        <v>516</v>
      </c>
      <c r="E165" s="83">
        <v>6774</v>
      </c>
      <c r="F165" s="83" t="s">
        <v>28</v>
      </c>
      <c r="G165" s="83" t="s">
        <v>53</v>
      </c>
      <c r="H165" s="83" t="s">
        <v>14</v>
      </c>
      <c r="I165" s="83" t="s">
        <v>19</v>
      </c>
      <c r="J165" s="83">
        <v>45</v>
      </c>
      <c r="K165" s="84"/>
      <c r="L165" s="83" t="s">
        <v>26</v>
      </c>
      <c r="M165" s="83" t="s">
        <v>60</v>
      </c>
      <c r="N165" s="85">
        <v>45936</v>
      </c>
      <c r="O165" s="86" t="s">
        <v>10</v>
      </c>
      <c r="P165" s="85" t="s">
        <v>20</v>
      </c>
      <c r="Q165" s="91"/>
      <c r="R165" s="87"/>
      <c r="S165" s="30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</row>
    <row r="166" spans="2:37" ht="16.2" x14ac:dyDescent="0.3">
      <c r="B166" s="80">
        <v>158</v>
      </c>
      <c r="C166" s="84" t="s">
        <v>515</v>
      </c>
      <c r="D166" s="82" t="s">
        <v>514</v>
      </c>
      <c r="E166" s="83">
        <v>6776</v>
      </c>
      <c r="F166" s="83" t="s">
        <v>16</v>
      </c>
      <c r="G166" s="83" t="s">
        <v>133</v>
      </c>
      <c r="H166" s="83" t="s">
        <v>14</v>
      </c>
      <c r="I166" s="83" t="s">
        <v>19</v>
      </c>
      <c r="J166" s="83">
        <v>40</v>
      </c>
      <c r="K166" s="84"/>
      <c r="L166" s="83" t="s">
        <v>26</v>
      </c>
      <c r="M166" s="83" t="s">
        <v>60</v>
      </c>
      <c r="N166" s="85">
        <v>45936</v>
      </c>
      <c r="O166" s="86" t="s">
        <v>10</v>
      </c>
      <c r="P166" s="85" t="s">
        <v>9</v>
      </c>
      <c r="Q166" s="91"/>
      <c r="R166" s="87"/>
      <c r="S166" s="30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</row>
    <row r="167" spans="2:37" ht="16.2" x14ac:dyDescent="0.3">
      <c r="B167" s="80">
        <v>159</v>
      </c>
      <c r="C167" s="84" t="s">
        <v>513</v>
      </c>
      <c r="D167" s="82" t="s">
        <v>512</v>
      </c>
      <c r="E167" s="83">
        <v>6777</v>
      </c>
      <c r="F167" s="83" t="s">
        <v>16</v>
      </c>
      <c r="G167" s="83" t="s">
        <v>80</v>
      </c>
      <c r="H167" s="83" t="s">
        <v>14</v>
      </c>
      <c r="I167" s="83" t="s">
        <v>19</v>
      </c>
      <c r="J167" s="83">
        <v>40</v>
      </c>
      <c r="K167" s="84"/>
      <c r="L167" s="83" t="s">
        <v>26</v>
      </c>
      <c r="M167" s="83" t="s">
        <v>60</v>
      </c>
      <c r="N167" s="85">
        <v>45936</v>
      </c>
      <c r="O167" s="86" t="s">
        <v>10</v>
      </c>
      <c r="P167" s="85" t="s">
        <v>9</v>
      </c>
      <c r="Q167" s="91"/>
      <c r="R167" s="87"/>
      <c r="S167" s="30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</row>
    <row r="168" spans="2:37" ht="16.2" x14ac:dyDescent="0.3">
      <c r="B168" s="80">
        <v>160</v>
      </c>
      <c r="C168" s="84" t="s">
        <v>511</v>
      </c>
      <c r="D168" s="82" t="s">
        <v>510</v>
      </c>
      <c r="E168" s="83">
        <v>6778</v>
      </c>
      <c r="F168" s="83" t="s">
        <v>28</v>
      </c>
      <c r="G168" s="83" t="s">
        <v>15</v>
      </c>
      <c r="H168" s="83" t="s">
        <v>14</v>
      </c>
      <c r="I168" s="83" t="s">
        <v>19</v>
      </c>
      <c r="J168" s="83">
        <v>40</v>
      </c>
      <c r="K168" s="84"/>
      <c r="L168" s="83" t="s">
        <v>12</v>
      </c>
      <c r="M168" s="83" t="s">
        <v>60</v>
      </c>
      <c r="N168" s="85">
        <v>45936</v>
      </c>
      <c r="O168" s="86" t="s">
        <v>10</v>
      </c>
      <c r="P168" s="85" t="s">
        <v>9</v>
      </c>
      <c r="Q168" s="91">
        <v>973642116</v>
      </c>
      <c r="R168" s="87"/>
      <c r="S168" s="30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</row>
    <row r="169" spans="2:37" ht="16.2" x14ac:dyDescent="0.3">
      <c r="B169" s="80">
        <v>161</v>
      </c>
      <c r="C169" s="84" t="s">
        <v>509</v>
      </c>
      <c r="D169" s="82" t="s">
        <v>508</v>
      </c>
      <c r="E169" s="83">
        <v>6780</v>
      </c>
      <c r="F169" s="83" t="s">
        <v>16</v>
      </c>
      <c r="G169" s="83" t="s">
        <v>37</v>
      </c>
      <c r="H169" s="83" t="s">
        <v>14</v>
      </c>
      <c r="I169" s="83" t="s">
        <v>19</v>
      </c>
      <c r="J169" s="83">
        <v>45</v>
      </c>
      <c r="K169" s="84"/>
      <c r="L169" s="83" t="s">
        <v>26</v>
      </c>
      <c r="M169" s="83" t="s">
        <v>60</v>
      </c>
      <c r="N169" s="85">
        <v>45936</v>
      </c>
      <c r="O169" s="86" t="s">
        <v>10</v>
      </c>
      <c r="P169" s="85" t="s">
        <v>20</v>
      </c>
      <c r="Q169" s="91">
        <v>990134571</v>
      </c>
      <c r="R169" s="87"/>
      <c r="S169" s="30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</row>
    <row r="170" spans="2:37" ht="16.2" x14ac:dyDescent="0.3">
      <c r="B170" s="80">
        <v>162</v>
      </c>
      <c r="C170" s="84" t="s">
        <v>507</v>
      </c>
      <c r="D170" s="82" t="s">
        <v>506</v>
      </c>
      <c r="E170" s="83">
        <v>6782</v>
      </c>
      <c r="F170" s="83" t="s">
        <v>16</v>
      </c>
      <c r="G170" s="83" t="s">
        <v>140</v>
      </c>
      <c r="H170" s="83" t="s">
        <v>14</v>
      </c>
      <c r="I170" s="83" t="s">
        <v>19</v>
      </c>
      <c r="J170" s="83">
        <v>55</v>
      </c>
      <c r="K170" s="84"/>
      <c r="L170" s="83" t="s">
        <v>12</v>
      </c>
      <c r="M170" s="83" t="s">
        <v>60</v>
      </c>
      <c r="N170" s="85">
        <v>45936</v>
      </c>
      <c r="O170" s="86" t="s">
        <v>25</v>
      </c>
      <c r="P170" s="85" t="s">
        <v>20</v>
      </c>
      <c r="Q170" s="91">
        <v>854690442</v>
      </c>
      <c r="R170" s="87"/>
      <c r="S170" s="30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</row>
    <row r="171" spans="2:37" ht="16.2" x14ac:dyDescent="0.3">
      <c r="B171" s="80">
        <v>163</v>
      </c>
      <c r="C171" s="84" t="s">
        <v>505</v>
      </c>
      <c r="D171" s="82" t="s">
        <v>504</v>
      </c>
      <c r="E171" s="83">
        <v>6784</v>
      </c>
      <c r="F171" s="83" t="s">
        <v>16</v>
      </c>
      <c r="G171" s="83" t="s">
        <v>22</v>
      </c>
      <c r="H171" s="83" t="s">
        <v>14</v>
      </c>
      <c r="I171" s="83" t="s">
        <v>19</v>
      </c>
      <c r="J171" s="83">
        <v>40</v>
      </c>
      <c r="K171" s="84"/>
      <c r="L171" s="83" t="s">
        <v>26</v>
      </c>
      <c r="M171" s="83" t="s">
        <v>60</v>
      </c>
      <c r="N171" s="85">
        <v>45936</v>
      </c>
      <c r="O171" s="86" t="s">
        <v>10</v>
      </c>
      <c r="P171" s="85" t="s">
        <v>20</v>
      </c>
      <c r="Q171" s="91"/>
      <c r="R171" s="87"/>
      <c r="S171" s="30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</row>
    <row r="172" spans="2:37" ht="16.2" x14ac:dyDescent="0.3">
      <c r="B172" s="80">
        <v>164</v>
      </c>
      <c r="C172" s="84" t="s">
        <v>503</v>
      </c>
      <c r="D172" s="82" t="s">
        <v>502</v>
      </c>
      <c r="E172" s="83">
        <v>6785</v>
      </c>
      <c r="F172" s="83" t="s">
        <v>16</v>
      </c>
      <c r="G172" s="83" t="s">
        <v>22</v>
      </c>
      <c r="H172" s="83" t="s">
        <v>14</v>
      </c>
      <c r="I172" s="83" t="s">
        <v>19</v>
      </c>
      <c r="J172" s="83">
        <v>45</v>
      </c>
      <c r="K172" s="84"/>
      <c r="L172" s="83" t="s">
        <v>26</v>
      </c>
      <c r="M172" s="83" t="s">
        <v>60</v>
      </c>
      <c r="N172" s="85">
        <v>45936</v>
      </c>
      <c r="O172" s="86" t="s">
        <v>10</v>
      </c>
      <c r="P172" s="85" t="s">
        <v>20</v>
      </c>
      <c r="Q172" s="91">
        <v>811853442</v>
      </c>
      <c r="R172" s="87"/>
      <c r="S172" s="30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</row>
    <row r="173" spans="2:37" ht="16.2" x14ac:dyDescent="0.3">
      <c r="B173" s="80">
        <v>165</v>
      </c>
      <c r="C173" s="84" t="s">
        <v>501</v>
      </c>
      <c r="D173" s="82" t="s">
        <v>500</v>
      </c>
      <c r="E173" s="83">
        <v>6786</v>
      </c>
      <c r="F173" s="83" t="s">
        <v>16</v>
      </c>
      <c r="G173" s="84" t="s">
        <v>27</v>
      </c>
      <c r="H173" s="83" t="s">
        <v>14</v>
      </c>
      <c r="I173" s="83" t="s">
        <v>19</v>
      </c>
      <c r="J173" s="83">
        <v>55</v>
      </c>
      <c r="K173" s="84"/>
      <c r="L173" s="83" t="s">
        <v>12</v>
      </c>
      <c r="M173" s="83" t="s">
        <v>60</v>
      </c>
      <c r="N173" s="85">
        <v>45936</v>
      </c>
      <c r="O173" s="86" t="s">
        <v>10</v>
      </c>
      <c r="P173" s="85" t="s">
        <v>20</v>
      </c>
      <c r="Q173" s="91" t="s">
        <v>499</v>
      </c>
      <c r="R173" s="87"/>
      <c r="S173" s="30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</row>
    <row r="174" spans="2:37" ht="16.2" x14ac:dyDescent="0.3">
      <c r="B174" s="80">
        <v>166</v>
      </c>
      <c r="C174" s="84" t="s">
        <v>498</v>
      </c>
      <c r="D174" s="82" t="s">
        <v>497</v>
      </c>
      <c r="E174" s="83">
        <v>6787</v>
      </c>
      <c r="F174" s="83" t="s">
        <v>16</v>
      </c>
      <c r="G174" s="83" t="s">
        <v>68</v>
      </c>
      <c r="H174" s="83" t="s">
        <v>14</v>
      </c>
      <c r="I174" s="83" t="s">
        <v>19</v>
      </c>
      <c r="J174" s="83">
        <v>55</v>
      </c>
      <c r="K174" s="84"/>
      <c r="L174" s="83" t="s">
        <v>12</v>
      </c>
      <c r="M174" s="83" t="s">
        <v>60</v>
      </c>
      <c r="N174" s="85">
        <v>45936</v>
      </c>
      <c r="O174" s="86" t="s">
        <v>10</v>
      </c>
      <c r="P174" s="85" t="s">
        <v>20</v>
      </c>
      <c r="Q174" s="91">
        <v>854778197</v>
      </c>
      <c r="R174" s="87"/>
      <c r="S174" s="30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</row>
    <row r="175" spans="2:37" ht="16.2" x14ac:dyDescent="0.3">
      <c r="B175" s="80">
        <v>167</v>
      </c>
      <c r="C175" s="84" t="s">
        <v>496</v>
      </c>
      <c r="D175" s="82" t="s">
        <v>495</v>
      </c>
      <c r="E175" s="83">
        <v>6788</v>
      </c>
      <c r="F175" s="84" t="s">
        <v>16</v>
      </c>
      <c r="G175" s="84" t="s">
        <v>201</v>
      </c>
      <c r="H175" s="84" t="s">
        <v>14</v>
      </c>
      <c r="I175" s="84" t="s">
        <v>19</v>
      </c>
      <c r="J175" s="84">
        <v>40</v>
      </c>
      <c r="K175" s="84"/>
      <c r="L175" s="84" t="s">
        <v>12</v>
      </c>
      <c r="M175" s="84" t="s">
        <v>60</v>
      </c>
      <c r="N175" s="85">
        <v>45936</v>
      </c>
      <c r="O175" s="86" t="s">
        <v>10</v>
      </c>
      <c r="P175" s="97" t="s">
        <v>9</v>
      </c>
      <c r="Q175" s="91" t="s">
        <v>494</v>
      </c>
      <c r="R175" s="91"/>
      <c r="S175" s="30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</row>
    <row r="176" spans="2:37" ht="16.2" x14ac:dyDescent="0.3">
      <c r="B176" s="80">
        <v>168</v>
      </c>
      <c r="C176" s="84" t="s">
        <v>493</v>
      </c>
      <c r="D176" s="82" t="s">
        <v>492</v>
      </c>
      <c r="E176" s="83">
        <v>6789</v>
      </c>
      <c r="F176" s="83" t="s">
        <v>28</v>
      </c>
      <c r="G176" s="83" t="s">
        <v>77</v>
      </c>
      <c r="H176" s="83" t="s">
        <v>14</v>
      </c>
      <c r="I176" s="83" t="s">
        <v>19</v>
      </c>
      <c r="J176" s="83">
        <v>40</v>
      </c>
      <c r="K176" s="84"/>
      <c r="L176" s="83" t="s">
        <v>26</v>
      </c>
      <c r="M176" s="83" t="s">
        <v>60</v>
      </c>
      <c r="N176" s="85">
        <v>45936</v>
      </c>
      <c r="O176" s="86" t="s">
        <v>10</v>
      </c>
      <c r="P176" s="85" t="s">
        <v>0</v>
      </c>
      <c r="Q176" s="91">
        <v>997102095</v>
      </c>
      <c r="R176" s="87"/>
      <c r="S176" s="30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</row>
    <row r="177" spans="2:37" ht="16.2" x14ac:dyDescent="0.3">
      <c r="B177" s="80">
        <v>169</v>
      </c>
      <c r="C177" s="84" t="s">
        <v>491</v>
      </c>
      <c r="D177" s="82" t="s">
        <v>490</v>
      </c>
      <c r="E177" s="83">
        <v>6790</v>
      </c>
      <c r="F177" s="83" t="s">
        <v>28</v>
      </c>
      <c r="G177" s="83" t="s">
        <v>106</v>
      </c>
      <c r="H177" s="83" t="s">
        <v>14</v>
      </c>
      <c r="I177" s="83" t="s">
        <v>19</v>
      </c>
      <c r="J177" s="83">
        <v>80</v>
      </c>
      <c r="K177" s="84"/>
      <c r="L177" s="83" t="s">
        <v>26</v>
      </c>
      <c r="M177" s="83" t="s">
        <v>60</v>
      </c>
      <c r="N177" s="85">
        <v>45936</v>
      </c>
      <c r="O177" s="86" t="s">
        <v>25</v>
      </c>
      <c r="P177" s="85" t="s">
        <v>20</v>
      </c>
      <c r="Q177" s="91">
        <v>995373173</v>
      </c>
      <c r="R177" s="87"/>
      <c r="S177" s="30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</row>
    <row r="178" spans="2:37" ht="16.2" x14ac:dyDescent="0.3">
      <c r="B178" s="80">
        <v>170</v>
      </c>
      <c r="C178" s="84" t="s">
        <v>489</v>
      </c>
      <c r="D178" s="82" t="s">
        <v>488</v>
      </c>
      <c r="E178" s="83">
        <v>6791</v>
      </c>
      <c r="F178" s="83" t="s">
        <v>28</v>
      </c>
      <c r="G178" s="83" t="s">
        <v>167</v>
      </c>
      <c r="H178" s="83" t="s">
        <v>14</v>
      </c>
      <c r="I178" s="83" t="s">
        <v>19</v>
      </c>
      <c r="J178" s="83">
        <v>80</v>
      </c>
      <c r="K178" s="84"/>
      <c r="L178" s="83" t="s">
        <v>26</v>
      </c>
      <c r="M178" s="83" t="s">
        <v>60</v>
      </c>
      <c r="N178" s="85">
        <v>45936</v>
      </c>
      <c r="O178" s="86" t="s">
        <v>25</v>
      </c>
      <c r="P178" s="85" t="s">
        <v>20</v>
      </c>
      <c r="Q178" s="91">
        <v>995578967</v>
      </c>
      <c r="R178" s="87"/>
      <c r="S178" s="30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</row>
    <row r="179" spans="2:37" ht="16.2" x14ac:dyDescent="0.3">
      <c r="B179" s="80">
        <v>171</v>
      </c>
      <c r="C179" s="84" t="s">
        <v>487</v>
      </c>
      <c r="D179" s="82" t="s">
        <v>486</v>
      </c>
      <c r="E179" s="100">
        <v>6792</v>
      </c>
      <c r="F179" s="99" t="s">
        <v>16</v>
      </c>
      <c r="G179" s="84" t="s">
        <v>133</v>
      </c>
      <c r="H179" s="84" t="s">
        <v>14</v>
      </c>
      <c r="I179" s="84" t="s">
        <v>19</v>
      </c>
      <c r="J179" s="84">
        <v>40</v>
      </c>
      <c r="K179" s="84"/>
      <c r="L179" s="83" t="s">
        <v>12</v>
      </c>
      <c r="M179" s="99" t="s">
        <v>60</v>
      </c>
      <c r="N179" s="85">
        <v>45936</v>
      </c>
      <c r="O179" s="86" t="s">
        <v>10</v>
      </c>
      <c r="P179" s="85" t="s">
        <v>9</v>
      </c>
      <c r="Q179" s="91">
        <v>810573328</v>
      </c>
      <c r="R179" s="87"/>
      <c r="S179" s="30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</row>
    <row r="180" spans="2:37" ht="16.2" x14ac:dyDescent="0.3">
      <c r="B180" s="80">
        <v>172</v>
      </c>
      <c r="C180" s="84" t="s">
        <v>485</v>
      </c>
      <c r="D180" s="82" t="s">
        <v>484</v>
      </c>
      <c r="E180" s="83">
        <v>6793</v>
      </c>
      <c r="F180" s="83" t="s">
        <v>16</v>
      </c>
      <c r="G180" s="83" t="s">
        <v>22</v>
      </c>
      <c r="H180" s="83" t="s">
        <v>14</v>
      </c>
      <c r="I180" s="83" t="s">
        <v>19</v>
      </c>
      <c r="J180" s="83">
        <v>45</v>
      </c>
      <c r="K180" s="84"/>
      <c r="L180" s="83" t="s">
        <v>12</v>
      </c>
      <c r="M180" s="83" t="s">
        <v>60</v>
      </c>
      <c r="N180" s="85">
        <v>45936</v>
      </c>
      <c r="O180" s="86" t="s">
        <v>10</v>
      </c>
      <c r="P180" s="85" t="s">
        <v>20</v>
      </c>
      <c r="Q180" s="91">
        <v>810573328</v>
      </c>
      <c r="R180" s="87"/>
      <c r="S180" s="30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</row>
    <row r="181" spans="2:37" ht="16.2" x14ac:dyDescent="0.3">
      <c r="B181" s="80">
        <v>173</v>
      </c>
      <c r="C181" s="81" t="s">
        <v>483</v>
      </c>
      <c r="D181" s="82" t="s">
        <v>482</v>
      </c>
      <c r="E181" s="83">
        <v>6794</v>
      </c>
      <c r="F181" s="83" t="s">
        <v>28</v>
      </c>
      <c r="G181" s="83" t="s">
        <v>37</v>
      </c>
      <c r="H181" s="83" t="s">
        <v>14</v>
      </c>
      <c r="I181" s="83" t="s">
        <v>19</v>
      </c>
      <c r="J181" s="83">
        <v>45</v>
      </c>
      <c r="K181" s="84"/>
      <c r="L181" s="83" t="s">
        <v>12</v>
      </c>
      <c r="M181" s="83" t="s">
        <v>60</v>
      </c>
      <c r="N181" s="85">
        <v>45936</v>
      </c>
      <c r="O181" s="86" t="s">
        <v>10</v>
      </c>
      <c r="P181" s="85" t="s">
        <v>20</v>
      </c>
      <c r="Q181" s="91">
        <v>810573328</v>
      </c>
      <c r="R181" s="87"/>
      <c r="S181" s="30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</row>
    <row r="182" spans="2:37" ht="16.2" x14ac:dyDescent="0.3">
      <c r="B182" s="80">
        <v>174</v>
      </c>
      <c r="C182" s="84" t="s">
        <v>481</v>
      </c>
      <c r="D182" s="82" t="s">
        <v>480</v>
      </c>
      <c r="E182" s="83">
        <v>6734</v>
      </c>
      <c r="F182" s="83" t="s">
        <v>28</v>
      </c>
      <c r="G182" s="84" t="s">
        <v>106</v>
      </c>
      <c r="H182" s="83" t="s">
        <v>14</v>
      </c>
      <c r="I182" s="83" t="s">
        <v>19</v>
      </c>
      <c r="J182" s="83">
        <v>80</v>
      </c>
      <c r="K182" s="84"/>
      <c r="L182" s="83" t="s">
        <v>26</v>
      </c>
      <c r="M182" s="83" t="s">
        <v>88</v>
      </c>
      <c r="N182" s="85">
        <v>45936</v>
      </c>
      <c r="O182" s="86" t="s">
        <v>25</v>
      </c>
      <c r="P182" s="85" t="s">
        <v>20</v>
      </c>
      <c r="Q182" s="91">
        <v>243995030005</v>
      </c>
      <c r="R182" s="87"/>
      <c r="S182" s="30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</row>
    <row r="183" spans="2:37" ht="16.2" x14ac:dyDescent="0.3">
      <c r="B183" s="80">
        <v>175</v>
      </c>
      <c r="C183" s="84" t="s">
        <v>479</v>
      </c>
      <c r="D183" s="82" t="s">
        <v>478</v>
      </c>
      <c r="E183" s="83">
        <v>6744</v>
      </c>
      <c r="F183" s="83" t="s">
        <v>16</v>
      </c>
      <c r="G183" s="83" t="s">
        <v>97</v>
      </c>
      <c r="H183" s="83" t="s">
        <v>14</v>
      </c>
      <c r="I183" s="83" t="s">
        <v>19</v>
      </c>
      <c r="J183" s="83">
        <v>80</v>
      </c>
      <c r="K183" s="84"/>
      <c r="L183" s="83" t="s">
        <v>26</v>
      </c>
      <c r="M183" s="83" t="s">
        <v>60</v>
      </c>
      <c r="N183" s="85">
        <v>45936</v>
      </c>
      <c r="O183" s="86" t="s">
        <v>25</v>
      </c>
      <c r="P183" s="85" t="s">
        <v>20</v>
      </c>
      <c r="Q183" s="91">
        <v>243854410292</v>
      </c>
      <c r="R183" s="87"/>
      <c r="S183" s="30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</row>
    <row r="184" spans="2:37" ht="16.2" x14ac:dyDescent="0.3">
      <c r="B184" s="80">
        <v>176</v>
      </c>
      <c r="C184" s="84" t="s">
        <v>477</v>
      </c>
      <c r="D184" s="82" t="s">
        <v>476</v>
      </c>
      <c r="E184" s="83">
        <v>6767</v>
      </c>
      <c r="F184" s="84" t="s">
        <v>28</v>
      </c>
      <c r="G184" s="84" t="s">
        <v>97</v>
      </c>
      <c r="H184" s="84" t="s">
        <v>14</v>
      </c>
      <c r="I184" s="84" t="s">
        <v>19</v>
      </c>
      <c r="J184" s="84">
        <v>80</v>
      </c>
      <c r="K184" s="84"/>
      <c r="L184" s="84" t="s">
        <v>26</v>
      </c>
      <c r="M184" s="84" t="s">
        <v>216</v>
      </c>
      <c r="N184" s="85">
        <v>45936</v>
      </c>
      <c r="O184" s="86" t="s">
        <v>25</v>
      </c>
      <c r="P184" s="97" t="s">
        <v>20</v>
      </c>
      <c r="Q184" s="91">
        <v>992403357</v>
      </c>
      <c r="R184" s="91"/>
      <c r="S184" s="30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</row>
    <row r="185" spans="2:37" ht="16.2" x14ac:dyDescent="0.3">
      <c r="B185" s="80">
        <v>177</v>
      </c>
      <c r="C185" s="84" t="s">
        <v>475</v>
      </c>
      <c r="D185" s="82" t="s">
        <v>474</v>
      </c>
      <c r="E185" s="83">
        <v>6795</v>
      </c>
      <c r="F185" s="83" t="s">
        <v>28</v>
      </c>
      <c r="G185" s="84" t="s">
        <v>27</v>
      </c>
      <c r="H185" s="83" t="s">
        <v>14</v>
      </c>
      <c r="I185" s="83" t="s">
        <v>19</v>
      </c>
      <c r="J185" s="83">
        <v>55</v>
      </c>
      <c r="K185" s="84"/>
      <c r="L185" s="83" t="s">
        <v>26</v>
      </c>
      <c r="M185" s="83" t="s">
        <v>49</v>
      </c>
      <c r="N185" s="85">
        <v>45937</v>
      </c>
      <c r="O185" s="86" t="s">
        <v>25</v>
      </c>
      <c r="P185" s="85" t="s">
        <v>20</v>
      </c>
      <c r="Q185" s="91">
        <v>999943179</v>
      </c>
      <c r="R185" s="87"/>
      <c r="S185" s="30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</row>
    <row r="186" spans="2:37" ht="16.2" x14ac:dyDescent="0.3">
      <c r="B186" s="80">
        <v>178</v>
      </c>
      <c r="C186" s="84" t="s">
        <v>473</v>
      </c>
      <c r="D186" s="82" t="s">
        <v>472</v>
      </c>
      <c r="E186" s="83">
        <v>6796</v>
      </c>
      <c r="F186" s="83" t="s">
        <v>28</v>
      </c>
      <c r="G186" s="83" t="s">
        <v>140</v>
      </c>
      <c r="H186" s="83" t="s">
        <v>14</v>
      </c>
      <c r="I186" s="83" t="s">
        <v>13</v>
      </c>
      <c r="J186" s="83">
        <v>55</v>
      </c>
      <c r="K186" s="84"/>
      <c r="L186" s="83" t="s">
        <v>12</v>
      </c>
      <c r="M186" s="83" t="s">
        <v>49</v>
      </c>
      <c r="N186" s="85">
        <v>45937</v>
      </c>
      <c r="O186" s="86" t="s">
        <v>25</v>
      </c>
      <c r="P186" s="85" t="s">
        <v>20</v>
      </c>
      <c r="Q186" s="91">
        <v>999943179</v>
      </c>
      <c r="R186" s="87"/>
      <c r="S186" s="30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</row>
    <row r="187" spans="2:37" ht="16.2" x14ac:dyDescent="0.3">
      <c r="B187" s="80">
        <v>179</v>
      </c>
      <c r="C187" s="84" t="s">
        <v>471</v>
      </c>
      <c r="D187" s="82" t="s">
        <v>470</v>
      </c>
      <c r="E187" s="83">
        <v>6797</v>
      </c>
      <c r="F187" s="83" t="s">
        <v>28</v>
      </c>
      <c r="G187" s="83" t="s">
        <v>100</v>
      </c>
      <c r="H187" s="83" t="s">
        <v>14</v>
      </c>
      <c r="I187" s="83" t="s">
        <v>19</v>
      </c>
      <c r="J187" s="83">
        <v>55</v>
      </c>
      <c r="K187" s="84"/>
      <c r="L187" s="83" t="s">
        <v>12</v>
      </c>
      <c r="M187" s="83" t="s">
        <v>49</v>
      </c>
      <c r="N187" s="85">
        <v>45937</v>
      </c>
      <c r="O187" s="86" t="s">
        <v>10</v>
      </c>
      <c r="P187" s="85" t="s">
        <v>20</v>
      </c>
      <c r="Q187" s="91">
        <v>973320051</v>
      </c>
      <c r="R187" s="87"/>
      <c r="S187" s="30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</row>
    <row r="188" spans="2:37" ht="16.2" x14ac:dyDescent="0.3">
      <c r="B188" s="80">
        <v>180</v>
      </c>
      <c r="C188" s="84" t="s">
        <v>469</v>
      </c>
      <c r="D188" s="82" t="s">
        <v>468</v>
      </c>
      <c r="E188" s="83">
        <v>6798</v>
      </c>
      <c r="F188" s="83" t="s">
        <v>16</v>
      </c>
      <c r="G188" s="84" t="s">
        <v>53</v>
      </c>
      <c r="H188" s="83" t="s">
        <v>14</v>
      </c>
      <c r="I188" s="83" t="s">
        <v>19</v>
      </c>
      <c r="J188" s="83">
        <v>45</v>
      </c>
      <c r="K188" s="84"/>
      <c r="L188" s="83" t="s">
        <v>26</v>
      </c>
      <c r="M188" s="83" t="s">
        <v>49</v>
      </c>
      <c r="N188" s="85">
        <v>45937</v>
      </c>
      <c r="O188" s="86" t="s">
        <v>10</v>
      </c>
      <c r="P188" s="85" t="s">
        <v>20</v>
      </c>
      <c r="Q188" s="91">
        <v>977718020</v>
      </c>
      <c r="R188" s="87"/>
      <c r="S188" s="30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</row>
    <row r="189" spans="2:37" ht="16.2" x14ac:dyDescent="0.3">
      <c r="B189" s="80">
        <v>181</v>
      </c>
      <c r="C189" s="84" t="s">
        <v>467</v>
      </c>
      <c r="D189" s="82" t="s">
        <v>466</v>
      </c>
      <c r="E189" s="83">
        <v>6799</v>
      </c>
      <c r="F189" s="83" t="s">
        <v>16</v>
      </c>
      <c r="G189" s="83" t="s">
        <v>133</v>
      </c>
      <c r="H189" s="83" t="s">
        <v>14</v>
      </c>
      <c r="I189" s="83" t="s">
        <v>19</v>
      </c>
      <c r="J189" s="83">
        <v>40</v>
      </c>
      <c r="K189" s="84"/>
      <c r="L189" s="83" t="s">
        <v>12</v>
      </c>
      <c r="M189" s="83" t="s">
        <v>49</v>
      </c>
      <c r="N189" s="85">
        <v>45937</v>
      </c>
      <c r="O189" s="86" t="s">
        <v>25</v>
      </c>
      <c r="P189" s="85" t="s">
        <v>9</v>
      </c>
      <c r="Q189" s="91" t="s">
        <v>465</v>
      </c>
      <c r="R189" s="87"/>
      <c r="S189" s="30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</row>
    <row r="190" spans="2:37" ht="16.2" x14ac:dyDescent="0.3">
      <c r="B190" s="80">
        <v>182</v>
      </c>
      <c r="C190" s="84" t="s">
        <v>464</v>
      </c>
      <c r="D190" s="82" t="s">
        <v>463</v>
      </c>
      <c r="E190" s="83">
        <v>6800</v>
      </c>
      <c r="F190" s="83" t="s">
        <v>28</v>
      </c>
      <c r="G190" s="83" t="s">
        <v>150</v>
      </c>
      <c r="H190" s="83" t="s">
        <v>14</v>
      </c>
      <c r="I190" s="83" t="s">
        <v>19</v>
      </c>
      <c r="J190" s="83">
        <v>45</v>
      </c>
      <c r="K190" s="84"/>
      <c r="L190" s="83" t="s">
        <v>26</v>
      </c>
      <c r="M190" s="83" t="s">
        <v>49</v>
      </c>
      <c r="N190" s="85">
        <v>45937</v>
      </c>
      <c r="O190" s="86" t="s">
        <v>10</v>
      </c>
      <c r="P190" s="85" t="s">
        <v>20</v>
      </c>
      <c r="Q190" s="91" t="s">
        <v>462</v>
      </c>
      <c r="R190" s="87"/>
      <c r="S190" s="30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</row>
    <row r="191" spans="2:37" ht="16.2" x14ac:dyDescent="0.3">
      <c r="B191" s="80">
        <v>183</v>
      </c>
      <c r="C191" s="84" t="s">
        <v>461</v>
      </c>
      <c r="D191" s="82" t="s">
        <v>460</v>
      </c>
      <c r="E191" s="83">
        <v>6801</v>
      </c>
      <c r="F191" s="83" t="s">
        <v>16</v>
      </c>
      <c r="G191" s="83" t="s">
        <v>185</v>
      </c>
      <c r="H191" s="83" t="s">
        <v>14</v>
      </c>
      <c r="I191" s="83" t="s">
        <v>19</v>
      </c>
      <c r="J191" s="83">
        <v>55</v>
      </c>
      <c r="K191" s="84"/>
      <c r="L191" s="83" t="s">
        <v>26</v>
      </c>
      <c r="M191" s="83" t="s">
        <v>49</v>
      </c>
      <c r="N191" s="85">
        <v>45937</v>
      </c>
      <c r="O191" s="86" t="s">
        <v>10</v>
      </c>
      <c r="P191" s="85" t="s">
        <v>20</v>
      </c>
      <c r="Q191" s="91"/>
      <c r="R191" s="87"/>
      <c r="S191" s="30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</row>
    <row r="192" spans="2:37" ht="16.2" x14ac:dyDescent="0.3">
      <c r="B192" s="80">
        <v>184</v>
      </c>
      <c r="C192" s="84" t="s">
        <v>459</v>
      </c>
      <c r="D192" s="82" t="s">
        <v>458</v>
      </c>
      <c r="E192" s="83">
        <v>6802</v>
      </c>
      <c r="F192" s="83" t="s">
        <v>28</v>
      </c>
      <c r="G192" s="83" t="s">
        <v>22</v>
      </c>
      <c r="H192" s="83" t="s">
        <v>14</v>
      </c>
      <c r="I192" s="83" t="s">
        <v>19</v>
      </c>
      <c r="J192" s="83">
        <v>45</v>
      </c>
      <c r="K192" s="84"/>
      <c r="L192" s="83" t="s">
        <v>12</v>
      </c>
      <c r="M192" s="83" t="s">
        <v>49</v>
      </c>
      <c r="N192" s="85">
        <v>45937</v>
      </c>
      <c r="O192" s="86" t="s">
        <v>10</v>
      </c>
      <c r="P192" s="85" t="s">
        <v>20</v>
      </c>
      <c r="Q192" s="91"/>
      <c r="R192" s="87"/>
      <c r="S192" s="30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</row>
    <row r="193" spans="2:37" ht="16.2" x14ac:dyDescent="0.3">
      <c r="B193" s="80">
        <v>185</v>
      </c>
      <c r="C193" s="84" t="s">
        <v>457</v>
      </c>
      <c r="D193" s="82" t="s">
        <v>456</v>
      </c>
      <c r="E193" s="83">
        <v>6803</v>
      </c>
      <c r="F193" s="84" t="s">
        <v>16</v>
      </c>
      <c r="G193" s="84" t="s">
        <v>201</v>
      </c>
      <c r="H193" s="84" t="s">
        <v>14</v>
      </c>
      <c r="I193" s="84" t="s">
        <v>19</v>
      </c>
      <c r="J193" s="84">
        <v>40</v>
      </c>
      <c r="K193" s="84"/>
      <c r="L193" s="84" t="s">
        <v>26</v>
      </c>
      <c r="M193" s="84" t="s">
        <v>49</v>
      </c>
      <c r="N193" s="85">
        <v>45937</v>
      </c>
      <c r="O193" s="86" t="s">
        <v>10</v>
      </c>
      <c r="P193" s="97" t="s">
        <v>9</v>
      </c>
      <c r="Q193" s="91">
        <v>995520608</v>
      </c>
      <c r="R193" s="91"/>
      <c r="S193" s="30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</row>
    <row r="194" spans="2:37" ht="16.2" x14ac:dyDescent="0.3">
      <c r="B194" s="80">
        <v>186</v>
      </c>
      <c r="C194" s="84" t="s">
        <v>455</v>
      </c>
      <c r="D194" s="82" t="s">
        <v>454</v>
      </c>
      <c r="E194" s="83">
        <v>6804</v>
      </c>
      <c r="F194" s="84" t="s">
        <v>28</v>
      </c>
      <c r="G194" s="84" t="s">
        <v>50</v>
      </c>
      <c r="H194" s="84" t="s">
        <v>14</v>
      </c>
      <c r="I194" s="84" t="s">
        <v>19</v>
      </c>
      <c r="J194" s="84">
        <v>40</v>
      </c>
      <c r="K194" s="84"/>
      <c r="L194" s="84" t="s">
        <v>26</v>
      </c>
      <c r="M194" s="84" t="s">
        <v>49</v>
      </c>
      <c r="N194" s="85">
        <v>45937</v>
      </c>
      <c r="O194" s="86" t="s">
        <v>10</v>
      </c>
      <c r="P194" s="97" t="s">
        <v>9</v>
      </c>
      <c r="Q194" s="91">
        <v>995520608</v>
      </c>
      <c r="R194" s="91"/>
      <c r="S194" s="30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</row>
    <row r="195" spans="2:37" ht="16.2" x14ac:dyDescent="0.3">
      <c r="B195" s="80">
        <v>187</v>
      </c>
      <c r="C195" s="84" t="s">
        <v>453</v>
      </c>
      <c r="D195" s="82" t="s">
        <v>452</v>
      </c>
      <c r="E195" s="100">
        <v>6805</v>
      </c>
      <c r="F195" s="99" t="s">
        <v>16</v>
      </c>
      <c r="G195" s="84" t="s">
        <v>77</v>
      </c>
      <c r="H195" s="84" t="s">
        <v>14</v>
      </c>
      <c r="I195" s="84" t="s">
        <v>19</v>
      </c>
      <c r="J195" s="84">
        <v>40</v>
      </c>
      <c r="K195" s="84"/>
      <c r="L195" s="83" t="s">
        <v>26</v>
      </c>
      <c r="M195" s="99" t="s">
        <v>49</v>
      </c>
      <c r="N195" s="85">
        <v>45937</v>
      </c>
      <c r="O195" s="86" t="s">
        <v>10</v>
      </c>
      <c r="P195" s="85" t="s">
        <v>0</v>
      </c>
      <c r="Q195" s="91">
        <v>990666633</v>
      </c>
      <c r="R195" s="87"/>
      <c r="S195" s="30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</row>
    <row r="196" spans="2:37" ht="16.2" x14ac:dyDescent="0.3">
      <c r="B196" s="80">
        <v>188</v>
      </c>
      <c r="C196" s="84" t="s">
        <v>451</v>
      </c>
      <c r="D196" s="82" t="s">
        <v>450</v>
      </c>
      <c r="E196" s="100">
        <v>6806</v>
      </c>
      <c r="F196" s="99" t="s">
        <v>28</v>
      </c>
      <c r="G196" s="84" t="s">
        <v>31</v>
      </c>
      <c r="H196" s="84" t="s">
        <v>14</v>
      </c>
      <c r="I196" s="84" t="s">
        <v>19</v>
      </c>
      <c r="J196" s="84">
        <v>45</v>
      </c>
      <c r="K196" s="84"/>
      <c r="L196" s="83" t="s">
        <v>12</v>
      </c>
      <c r="M196" s="99" t="s">
        <v>49</v>
      </c>
      <c r="N196" s="85">
        <v>45937</v>
      </c>
      <c r="O196" s="86" t="s">
        <v>10</v>
      </c>
      <c r="P196" s="85" t="s">
        <v>20</v>
      </c>
      <c r="Q196" s="91">
        <v>995912740</v>
      </c>
      <c r="R196" s="87"/>
      <c r="S196" s="30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</row>
    <row r="197" spans="2:37" ht="16.2" x14ac:dyDescent="0.3">
      <c r="B197" s="80">
        <v>189</v>
      </c>
      <c r="C197" s="84" t="s">
        <v>449</v>
      </c>
      <c r="D197" s="82" t="s">
        <v>448</v>
      </c>
      <c r="E197" s="83">
        <v>6807</v>
      </c>
      <c r="F197" s="83" t="s">
        <v>16</v>
      </c>
      <c r="G197" s="83" t="s">
        <v>83</v>
      </c>
      <c r="H197" s="83" t="s">
        <v>14</v>
      </c>
      <c r="I197" s="83" t="s">
        <v>19</v>
      </c>
      <c r="J197" s="83">
        <v>40</v>
      </c>
      <c r="K197" s="84"/>
      <c r="L197" s="83" t="s">
        <v>12</v>
      </c>
      <c r="M197" s="83" t="s">
        <v>49</v>
      </c>
      <c r="N197" s="85">
        <v>45937</v>
      </c>
      <c r="O197" s="86" t="s">
        <v>10</v>
      </c>
      <c r="P197" s="85" t="s">
        <v>9</v>
      </c>
      <c r="Q197" s="91">
        <v>819667699</v>
      </c>
      <c r="R197" s="87"/>
      <c r="S197" s="30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</row>
    <row r="198" spans="2:37" ht="16.2" x14ac:dyDescent="0.3">
      <c r="B198" s="80">
        <v>190</v>
      </c>
      <c r="C198" s="84" t="s">
        <v>447</v>
      </c>
      <c r="D198" s="82" t="s">
        <v>446</v>
      </c>
      <c r="E198" s="83">
        <v>6809</v>
      </c>
      <c r="F198" s="83" t="s">
        <v>28</v>
      </c>
      <c r="G198" s="83" t="s">
        <v>201</v>
      </c>
      <c r="H198" s="83" t="s">
        <v>14</v>
      </c>
      <c r="I198" s="83" t="s">
        <v>19</v>
      </c>
      <c r="J198" s="83">
        <v>40</v>
      </c>
      <c r="K198" s="84"/>
      <c r="L198" s="83" t="s">
        <v>12</v>
      </c>
      <c r="M198" s="83" t="s">
        <v>49</v>
      </c>
      <c r="N198" s="85">
        <v>45937</v>
      </c>
      <c r="O198" s="86" t="s">
        <v>10</v>
      </c>
      <c r="P198" s="85" t="s">
        <v>9</v>
      </c>
      <c r="Q198" s="91" t="s">
        <v>445</v>
      </c>
      <c r="R198" s="87"/>
      <c r="S198" s="30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</row>
    <row r="199" spans="2:37" ht="16.2" x14ac:dyDescent="0.3">
      <c r="B199" s="80">
        <v>191</v>
      </c>
      <c r="C199" s="84" t="s">
        <v>444</v>
      </c>
      <c r="D199" s="82" t="s">
        <v>443</v>
      </c>
      <c r="E199" s="83">
        <v>6808</v>
      </c>
      <c r="F199" s="83" t="s">
        <v>16</v>
      </c>
      <c r="G199" s="83" t="s">
        <v>167</v>
      </c>
      <c r="H199" s="83" t="s">
        <v>14</v>
      </c>
      <c r="I199" s="83" t="s">
        <v>19</v>
      </c>
      <c r="J199" s="83">
        <v>70</v>
      </c>
      <c r="K199" s="84"/>
      <c r="L199" s="83" t="s">
        <v>12</v>
      </c>
      <c r="M199" s="83" t="s">
        <v>49</v>
      </c>
      <c r="N199" s="85">
        <v>45937</v>
      </c>
      <c r="O199" s="86" t="s">
        <v>25</v>
      </c>
      <c r="P199" s="85" t="s">
        <v>20</v>
      </c>
      <c r="Q199" s="91">
        <v>977014941</v>
      </c>
      <c r="R199" s="87"/>
      <c r="S199" s="30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</row>
    <row r="200" spans="2:37" ht="16.2" x14ac:dyDescent="0.3">
      <c r="B200" s="80">
        <v>192</v>
      </c>
      <c r="C200" s="84" t="s">
        <v>442</v>
      </c>
      <c r="D200" s="82" t="s">
        <v>441</v>
      </c>
      <c r="E200" s="83">
        <v>6810</v>
      </c>
      <c r="F200" s="83" t="s">
        <v>28</v>
      </c>
      <c r="G200" s="83" t="s">
        <v>100</v>
      </c>
      <c r="H200" s="83" t="s">
        <v>14</v>
      </c>
      <c r="I200" s="83" t="s">
        <v>19</v>
      </c>
      <c r="J200" s="83">
        <v>45</v>
      </c>
      <c r="K200" s="84"/>
      <c r="L200" s="83" t="s">
        <v>12</v>
      </c>
      <c r="M200" s="83" t="s">
        <v>49</v>
      </c>
      <c r="N200" s="85">
        <v>45937</v>
      </c>
      <c r="O200" s="86" t="s">
        <v>10</v>
      </c>
      <c r="P200" s="85" t="s">
        <v>20</v>
      </c>
      <c r="Q200" s="91">
        <v>977014941</v>
      </c>
      <c r="R200" s="87"/>
      <c r="S200" s="30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</row>
    <row r="201" spans="2:37" ht="16.2" x14ac:dyDescent="0.3">
      <c r="B201" s="80">
        <v>193</v>
      </c>
      <c r="C201" s="84" t="s">
        <v>440</v>
      </c>
      <c r="D201" s="82" t="s">
        <v>439</v>
      </c>
      <c r="E201" s="83">
        <v>6813</v>
      </c>
      <c r="F201" s="83" t="s">
        <v>16</v>
      </c>
      <c r="G201" s="83" t="s">
        <v>113</v>
      </c>
      <c r="H201" s="83" t="s">
        <v>14</v>
      </c>
      <c r="I201" s="83" t="s">
        <v>19</v>
      </c>
      <c r="J201" s="83">
        <v>45</v>
      </c>
      <c r="K201" s="84"/>
      <c r="L201" s="83" t="s">
        <v>12</v>
      </c>
      <c r="M201" s="83" t="s">
        <v>49</v>
      </c>
      <c r="N201" s="85">
        <v>45937</v>
      </c>
      <c r="O201" s="86" t="s">
        <v>10</v>
      </c>
      <c r="P201" s="85" t="s">
        <v>20</v>
      </c>
      <c r="Q201" s="91">
        <v>902666303</v>
      </c>
      <c r="R201" s="87"/>
      <c r="S201" s="30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</row>
    <row r="202" spans="2:37" ht="16.2" x14ac:dyDescent="0.3">
      <c r="B202" s="80">
        <v>194</v>
      </c>
      <c r="C202" s="84" t="s">
        <v>438</v>
      </c>
      <c r="D202" s="82" t="s">
        <v>437</v>
      </c>
      <c r="E202" s="83">
        <v>6814</v>
      </c>
      <c r="F202" s="83" t="s">
        <v>16</v>
      </c>
      <c r="G202" s="83" t="s">
        <v>164</v>
      </c>
      <c r="H202" s="83" t="s">
        <v>14</v>
      </c>
      <c r="I202" s="83" t="s">
        <v>56</v>
      </c>
      <c r="J202" s="83">
        <v>40</v>
      </c>
      <c r="K202" s="84"/>
      <c r="L202" s="83" t="s">
        <v>12</v>
      </c>
      <c r="M202" s="83" t="s">
        <v>49</v>
      </c>
      <c r="N202" s="85">
        <v>45937</v>
      </c>
      <c r="O202" s="86" t="s">
        <v>25</v>
      </c>
      <c r="P202" s="85" t="s">
        <v>20</v>
      </c>
      <c r="Q202" s="91">
        <v>902666303</v>
      </c>
      <c r="R202" s="87"/>
      <c r="S202" s="30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</row>
    <row r="203" spans="2:37" ht="16.2" x14ac:dyDescent="0.3">
      <c r="B203" s="80">
        <v>195</v>
      </c>
      <c r="C203" s="84" t="s">
        <v>436</v>
      </c>
      <c r="D203" s="82" t="s">
        <v>435</v>
      </c>
      <c r="E203" s="83">
        <v>6812</v>
      </c>
      <c r="F203" s="83" t="s">
        <v>16</v>
      </c>
      <c r="G203" s="83" t="s">
        <v>65</v>
      </c>
      <c r="H203" s="83" t="s">
        <v>14</v>
      </c>
      <c r="I203" s="83" t="s">
        <v>19</v>
      </c>
      <c r="J203" s="83">
        <v>45</v>
      </c>
      <c r="K203" s="84"/>
      <c r="L203" s="83" t="s">
        <v>12</v>
      </c>
      <c r="M203" s="83" t="s">
        <v>49</v>
      </c>
      <c r="N203" s="85">
        <v>45937</v>
      </c>
      <c r="O203" s="86" t="s">
        <v>25</v>
      </c>
      <c r="P203" s="85" t="s">
        <v>20</v>
      </c>
      <c r="Q203" s="91">
        <v>902666303</v>
      </c>
      <c r="R203" s="87"/>
      <c r="S203" s="30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</row>
    <row r="204" spans="2:37" ht="16.2" x14ac:dyDescent="0.3">
      <c r="B204" s="80">
        <v>196</v>
      </c>
      <c r="C204" s="84" t="s">
        <v>434</v>
      </c>
      <c r="D204" s="82" t="s">
        <v>433</v>
      </c>
      <c r="E204" s="83">
        <v>6815</v>
      </c>
      <c r="F204" s="83" t="s">
        <v>28</v>
      </c>
      <c r="G204" s="83" t="s">
        <v>68</v>
      </c>
      <c r="H204" s="83" t="s">
        <v>14</v>
      </c>
      <c r="I204" s="83" t="s">
        <v>19</v>
      </c>
      <c r="J204" s="83">
        <v>55</v>
      </c>
      <c r="K204" s="84"/>
      <c r="L204" s="83" t="s">
        <v>12</v>
      </c>
      <c r="M204" s="83" t="s">
        <v>49</v>
      </c>
      <c r="N204" s="85">
        <v>45937</v>
      </c>
      <c r="O204" s="86" t="s">
        <v>25</v>
      </c>
      <c r="P204" s="85" t="s">
        <v>20</v>
      </c>
      <c r="Q204" s="91"/>
      <c r="R204" s="87"/>
      <c r="S204" s="30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</row>
    <row r="205" spans="2:37" ht="16.2" x14ac:dyDescent="0.3">
      <c r="B205" s="80">
        <v>197</v>
      </c>
      <c r="C205" s="84" t="s">
        <v>432</v>
      </c>
      <c r="D205" s="82" t="s">
        <v>431</v>
      </c>
      <c r="E205" s="83">
        <v>6816</v>
      </c>
      <c r="F205" s="83" t="s">
        <v>28</v>
      </c>
      <c r="G205" s="83" t="s">
        <v>140</v>
      </c>
      <c r="H205" s="83" t="s">
        <v>14</v>
      </c>
      <c r="I205" s="83" t="s">
        <v>19</v>
      </c>
      <c r="J205" s="83">
        <v>55</v>
      </c>
      <c r="K205" s="84"/>
      <c r="L205" s="83" t="s">
        <v>12</v>
      </c>
      <c r="M205" s="83" t="s">
        <v>49</v>
      </c>
      <c r="N205" s="85">
        <v>45937</v>
      </c>
      <c r="O205" s="86" t="s">
        <v>25</v>
      </c>
      <c r="P205" s="85" t="s">
        <v>20</v>
      </c>
      <c r="Q205" s="91" t="s">
        <v>430</v>
      </c>
      <c r="R205" s="87"/>
      <c r="S205" s="30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</row>
    <row r="206" spans="2:37" ht="16.2" x14ac:dyDescent="0.3">
      <c r="B206" s="80">
        <v>198</v>
      </c>
      <c r="C206" s="84" t="s">
        <v>429</v>
      </c>
      <c r="D206" s="82" t="s">
        <v>428</v>
      </c>
      <c r="E206" s="83">
        <v>6818</v>
      </c>
      <c r="F206" s="83" t="s">
        <v>28</v>
      </c>
      <c r="G206" s="83" t="s">
        <v>68</v>
      </c>
      <c r="H206" s="83" t="s">
        <v>14</v>
      </c>
      <c r="I206" s="83" t="s">
        <v>103</v>
      </c>
      <c r="J206" s="83">
        <v>5</v>
      </c>
      <c r="K206" s="84"/>
      <c r="L206" s="83" t="s">
        <v>12</v>
      </c>
      <c r="M206" s="83" t="s">
        <v>49</v>
      </c>
      <c r="N206" s="85">
        <v>45937</v>
      </c>
      <c r="O206" s="86" t="s">
        <v>25</v>
      </c>
      <c r="P206" s="85" t="s">
        <v>20</v>
      </c>
      <c r="Q206" s="91"/>
      <c r="R206" s="87"/>
      <c r="S206" s="30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</row>
    <row r="207" spans="2:37" ht="16.2" x14ac:dyDescent="0.3">
      <c r="B207" s="80">
        <v>199</v>
      </c>
      <c r="C207" s="84" t="s">
        <v>427</v>
      </c>
      <c r="D207" s="82" t="s">
        <v>426</v>
      </c>
      <c r="E207" s="83">
        <v>6820</v>
      </c>
      <c r="F207" s="83" t="s">
        <v>28</v>
      </c>
      <c r="G207" s="83" t="s">
        <v>97</v>
      </c>
      <c r="H207" s="83" t="s">
        <v>14</v>
      </c>
      <c r="I207" s="83" t="s">
        <v>19</v>
      </c>
      <c r="J207" s="83">
        <v>100</v>
      </c>
      <c r="K207" s="84"/>
      <c r="L207" s="83" t="s">
        <v>12</v>
      </c>
      <c r="M207" s="83" t="s">
        <v>49</v>
      </c>
      <c r="N207" s="85">
        <v>45937</v>
      </c>
      <c r="O207" s="86" t="s">
        <v>10</v>
      </c>
      <c r="P207" s="85" t="s">
        <v>20</v>
      </c>
      <c r="Q207" s="91"/>
      <c r="R207" s="87"/>
      <c r="S207" s="30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</row>
    <row r="208" spans="2:37" ht="16.2" x14ac:dyDescent="0.3">
      <c r="B208" s="80">
        <v>200</v>
      </c>
      <c r="C208" s="84" t="s">
        <v>108</v>
      </c>
      <c r="D208" s="82" t="s">
        <v>107</v>
      </c>
      <c r="E208" s="83">
        <v>6821</v>
      </c>
      <c r="F208" s="83" t="s">
        <v>16</v>
      </c>
      <c r="G208" s="83" t="s">
        <v>106</v>
      </c>
      <c r="H208" s="83" t="s">
        <v>14</v>
      </c>
      <c r="I208" s="83" t="s">
        <v>19</v>
      </c>
      <c r="J208" s="83">
        <v>80</v>
      </c>
      <c r="K208" s="84"/>
      <c r="L208" s="83" t="s">
        <v>26</v>
      </c>
      <c r="M208" s="83" t="s">
        <v>49</v>
      </c>
      <c r="N208" s="85">
        <v>45937</v>
      </c>
      <c r="O208" s="86" t="s">
        <v>25</v>
      </c>
      <c r="P208" s="85" t="s">
        <v>20</v>
      </c>
      <c r="Q208" s="91">
        <v>990200018</v>
      </c>
      <c r="R208" s="87"/>
      <c r="S208" s="30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</row>
    <row r="209" spans="2:37" ht="16.2" x14ac:dyDescent="0.3">
      <c r="B209" s="80">
        <v>201</v>
      </c>
      <c r="C209" s="84" t="s">
        <v>425</v>
      </c>
      <c r="D209" s="82" t="s">
        <v>424</v>
      </c>
      <c r="E209" s="83">
        <v>6823</v>
      </c>
      <c r="F209" s="83" t="s">
        <v>28</v>
      </c>
      <c r="G209" s="83" t="s">
        <v>106</v>
      </c>
      <c r="H209" s="83" t="s">
        <v>14</v>
      </c>
      <c r="I209" s="83" t="s">
        <v>19</v>
      </c>
      <c r="J209" s="83">
        <v>80</v>
      </c>
      <c r="K209" s="84"/>
      <c r="L209" s="83" t="s">
        <v>12</v>
      </c>
      <c r="M209" s="83" t="s">
        <v>49</v>
      </c>
      <c r="N209" s="85">
        <v>45937</v>
      </c>
      <c r="O209" s="86" t="s">
        <v>25</v>
      </c>
      <c r="P209" s="85" t="s">
        <v>20</v>
      </c>
      <c r="Q209" s="91">
        <v>979373937</v>
      </c>
      <c r="R209" s="87"/>
      <c r="S209" s="30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</row>
    <row r="210" spans="2:37" ht="16.2" x14ac:dyDescent="0.3">
      <c r="B210" s="80">
        <v>202</v>
      </c>
      <c r="C210" s="84" t="s">
        <v>423</v>
      </c>
      <c r="D210" s="82" t="s">
        <v>422</v>
      </c>
      <c r="E210" s="83">
        <v>6824</v>
      </c>
      <c r="F210" s="83" t="s">
        <v>16</v>
      </c>
      <c r="G210" s="83" t="s">
        <v>164</v>
      </c>
      <c r="H210" s="83" t="s">
        <v>14</v>
      </c>
      <c r="I210" s="83" t="s">
        <v>19</v>
      </c>
      <c r="J210" s="83">
        <v>80</v>
      </c>
      <c r="K210" s="84"/>
      <c r="L210" s="83" t="s">
        <v>12</v>
      </c>
      <c r="M210" s="83" t="s">
        <v>49</v>
      </c>
      <c r="N210" s="85">
        <v>45937</v>
      </c>
      <c r="O210" s="86" t="s">
        <v>25</v>
      </c>
      <c r="P210" s="85" t="s">
        <v>20</v>
      </c>
      <c r="Q210" s="91">
        <v>97555868</v>
      </c>
      <c r="R210" s="87"/>
      <c r="S210" s="30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</row>
    <row r="211" spans="2:37" ht="16.2" x14ac:dyDescent="0.3">
      <c r="B211" s="80">
        <v>203</v>
      </c>
      <c r="C211" s="84" t="s">
        <v>421</v>
      </c>
      <c r="D211" s="82" t="s">
        <v>420</v>
      </c>
      <c r="E211" s="83">
        <v>6825</v>
      </c>
      <c r="F211" s="84" t="s">
        <v>28</v>
      </c>
      <c r="G211" s="84" t="s">
        <v>22</v>
      </c>
      <c r="H211" s="84" t="s">
        <v>14</v>
      </c>
      <c r="I211" s="84" t="s">
        <v>19</v>
      </c>
      <c r="J211" s="84">
        <v>45</v>
      </c>
      <c r="K211" s="84"/>
      <c r="L211" s="84" t="s">
        <v>26</v>
      </c>
      <c r="M211" s="84" t="s">
        <v>49</v>
      </c>
      <c r="N211" s="85">
        <v>45937</v>
      </c>
      <c r="O211" s="86" t="s">
        <v>10</v>
      </c>
      <c r="P211" s="97" t="s">
        <v>20</v>
      </c>
      <c r="Q211" s="91">
        <v>977393937</v>
      </c>
      <c r="R211" s="91"/>
      <c r="S211" s="30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</row>
    <row r="212" spans="2:37" ht="16.2" x14ac:dyDescent="0.3">
      <c r="B212" s="80">
        <v>204</v>
      </c>
      <c r="C212" s="84" t="s">
        <v>419</v>
      </c>
      <c r="D212" s="82" t="s">
        <v>418</v>
      </c>
      <c r="E212" s="83">
        <v>6826</v>
      </c>
      <c r="F212" s="83" t="s">
        <v>28</v>
      </c>
      <c r="G212" s="83" t="s">
        <v>150</v>
      </c>
      <c r="H212" s="83" t="s">
        <v>14</v>
      </c>
      <c r="I212" s="83" t="s">
        <v>19</v>
      </c>
      <c r="J212" s="83">
        <v>45</v>
      </c>
      <c r="K212" s="84"/>
      <c r="L212" s="83" t="s">
        <v>26</v>
      </c>
      <c r="M212" s="83" t="s">
        <v>49</v>
      </c>
      <c r="N212" s="85">
        <v>45937</v>
      </c>
      <c r="O212" s="86" t="s">
        <v>10</v>
      </c>
      <c r="P212" s="85" t="s">
        <v>20</v>
      </c>
      <c r="Q212" s="91">
        <v>979373937</v>
      </c>
      <c r="R212" s="87"/>
      <c r="S212" s="30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</row>
    <row r="213" spans="2:37" ht="16.2" x14ac:dyDescent="0.3">
      <c r="B213" s="80">
        <v>205</v>
      </c>
      <c r="C213" s="84" t="s">
        <v>417</v>
      </c>
      <c r="D213" s="82" t="s">
        <v>416</v>
      </c>
      <c r="E213" s="83">
        <v>6828</v>
      </c>
      <c r="F213" s="83" t="s">
        <v>28</v>
      </c>
      <c r="G213" s="83" t="s">
        <v>100</v>
      </c>
      <c r="H213" s="83" t="s">
        <v>14</v>
      </c>
      <c r="I213" s="83" t="s">
        <v>56</v>
      </c>
      <c r="J213" s="83">
        <v>50</v>
      </c>
      <c r="K213" s="84"/>
      <c r="L213" s="83" t="s">
        <v>26</v>
      </c>
      <c r="M213" s="83" t="s">
        <v>49</v>
      </c>
      <c r="N213" s="85">
        <v>45937</v>
      </c>
      <c r="O213" s="86" t="s">
        <v>10</v>
      </c>
      <c r="P213" s="85" t="s">
        <v>20</v>
      </c>
      <c r="Q213" s="91">
        <v>991810655</v>
      </c>
      <c r="R213" s="87"/>
      <c r="S213" s="30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</row>
    <row r="214" spans="2:37" ht="16.2" x14ac:dyDescent="0.3">
      <c r="B214" s="80">
        <v>206</v>
      </c>
      <c r="C214" s="84" t="s">
        <v>415</v>
      </c>
      <c r="D214" s="82" t="s">
        <v>414</v>
      </c>
      <c r="E214" s="83">
        <v>6817</v>
      </c>
      <c r="F214" s="83" t="s">
        <v>28</v>
      </c>
      <c r="G214" s="83" t="s">
        <v>301</v>
      </c>
      <c r="H214" s="83" t="s">
        <v>14</v>
      </c>
      <c r="I214" s="83" t="s">
        <v>19</v>
      </c>
      <c r="J214" s="83">
        <v>80</v>
      </c>
      <c r="K214" s="84"/>
      <c r="L214" s="83" t="s">
        <v>26</v>
      </c>
      <c r="M214" s="83" t="s">
        <v>88</v>
      </c>
      <c r="N214" s="85">
        <v>45937</v>
      </c>
      <c r="O214" s="86" t="s">
        <v>25</v>
      </c>
      <c r="P214" s="85" t="s">
        <v>20</v>
      </c>
      <c r="Q214" s="91">
        <v>243972318438</v>
      </c>
      <c r="R214" s="87"/>
      <c r="S214" s="30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</row>
    <row r="215" spans="2:37" ht="16.2" x14ac:dyDescent="0.3">
      <c r="B215" s="80">
        <v>207</v>
      </c>
      <c r="C215" s="84" t="s">
        <v>413</v>
      </c>
      <c r="D215" s="82" t="s">
        <v>412</v>
      </c>
      <c r="E215" s="83">
        <v>6829</v>
      </c>
      <c r="F215" s="83" t="s">
        <v>28</v>
      </c>
      <c r="G215" s="83" t="s">
        <v>15</v>
      </c>
      <c r="H215" s="83" t="s">
        <v>14</v>
      </c>
      <c r="I215" s="83" t="s">
        <v>19</v>
      </c>
      <c r="J215" s="83">
        <v>40</v>
      </c>
      <c r="K215" s="84"/>
      <c r="L215" s="83" t="s">
        <v>12</v>
      </c>
      <c r="M215" s="83" t="s">
        <v>11</v>
      </c>
      <c r="N215" s="85">
        <v>45938</v>
      </c>
      <c r="O215" s="86" t="s">
        <v>10</v>
      </c>
      <c r="P215" s="85" t="s">
        <v>9</v>
      </c>
      <c r="Q215" s="91">
        <v>998007340</v>
      </c>
      <c r="R215" s="87"/>
      <c r="S215" s="30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</row>
    <row r="216" spans="2:37" ht="16.2" x14ac:dyDescent="0.3">
      <c r="B216" s="80">
        <v>208</v>
      </c>
      <c r="C216" s="84" t="s">
        <v>413</v>
      </c>
      <c r="D216" s="82" t="s">
        <v>412</v>
      </c>
      <c r="E216" s="83">
        <v>6830</v>
      </c>
      <c r="F216" s="83" t="s">
        <v>28</v>
      </c>
      <c r="G216" s="83" t="s">
        <v>15</v>
      </c>
      <c r="H216" s="83" t="s">
        <v>14</v>
      </c>
      <c r="I216" s="83" t="s">
        <v>13</v>
      </c>
      <c r="J216" s="83">
        <v>40</v>
      </c>
      <c r="K216" s="84"/>
      <c r="L216" s="83" t="s">
        <v>12</v>
      </c>
      <c r="M216" s="83" t="s">
        <v>11</v>
      </c>
      <c r="N216" s="85">
        <v>45938</v>
      </c>
      <c r="O216" s="86" t="s">
        <v>10</v>
      </c>
      <c r="P216" s="85" t="s">
        <v>9</v>
      </c>
      <c r="Q216" s="91">
        <v>998007340</v>
      </c>
      <c r="R216" s="87"/>
      <c r="S216" s="30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</row>
    <row r="217" spans="2:37" ht="16.2" x14ac:dyDescent="0.3">
      <c r="B217" s="80">
        <v>209</v>
      </c>
      <c r="C217" s="84" t="s">
        <v>411</v>
      </c>
      <c r="D217" s="82" t="s">
        <v>410</v>
      </c>
      <c r="E217" s="83">
        <v>6831</v>
      </c>
      <c r="F217" s="83" t="s">
        <v>16</v>
      </c>
      <c r="G217" s="84" t="s">
        <v>273</v>
      </c>
      <c r="H217" s="83" t="s">
        <v>14</v>
      </c>
      <c r="I217" s="83" t="s">
        <v>19</v>
      </c>
      <c r="J217" s="83">
        <v>45</v>
      </c>
      <c r="K217" s="84"/>
      <c r="L217" s="83" t="s">
        <v>12</v>
      </c>
      <c r="M217" s="83" t="s">
        <v>11</v>
      </c>
      <c r="N217" s="85">
        <v>45938</v>
      </c>
      <c r="O217" s="86" t="s">
        <v>10</v>
      </c>
      <c r="P217" s="85" t="s">
        <v>20</v>
      </c>
      <c r="Q217" s="91" t="s">
        <v>409</v>
      </c>
      <c r="R217" s="87"/>
      <c r="S217" s="30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</row>
    <row r="218" spans="2:37" ht="16.2" x14ac:dyDescent="0.3">
      <c r="B218" s="80">
        <v>210</v>
      </c>
      <c r="C218" s="84" t="s">
        <v>408</v>
      </c>
      <c r="D218" s="82" t="s">
        <v>407</v>
      </c>
      <c r="E218" s="83">
        <v>6832</v>
      </c>
      <c r="F218" s="83" t="s">
        <v>28</v>
      </c>
      <c r="G218" s="83" t="s">
        <v>15</v>
      </c>
      <c r="H218" s="83" t="s">
        <v>14</v>
      </c>
      <c r="I218" s="83" t="s">
        <v>19</v>
      </c>
      <c r="J218" s="83">
        <v>35</v>
      </c>
      <c r="K218" s="84"/>
      <c r="L218" s="83" t="s">
        <v>26</v>
      </c>
      <c r="M218" s="83" t="s">
        <v>11</v>
      </c>
      <c r="N218" s="85">
        <v>45938</v>
      </c>
      <c r="O218" s="86" t="s">
        <v>10</v>
      </c>
      <c r="P218" s="85" t="s">
        <v>9</v>
      </c>
      <c r="Q218" s="91" t="s">
        <v>45</v>
      </c>
      <c r="R218" s="87"/>
      <c r="S218" s="30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</row>
    <row r="219" spans="2:37" ht="16.2" x14ac:dyDescent="0.3">
      <c r="B219" s="80">
        <v>211</v>
      </c>
      <c r="C219" s="84" t="s">
        <v>406</v>
      </c>
      <c r="D219" s="82" t="s">
        <v>405</v>
      </c>
      <c r="E219" s="83">
        <v>6833</v>
      </c>
      <c r="F219" s="83" t="s">
        <v>28</v>
      </c>
      <c r="G219" s="83" t="s">
        <v>50</v>
      </c>
      <c r="H219" s="83" t="s">
        <v>14</v>
      </c>
      <c r="I219" s="83" t="s">
        <v>19</v>
      </c>
      <c r="J219" s="83">
        <v>35</v>
      </c>
      <c r="K219" s="84"/>
      <c r="L219" s="83" t="s">
        <v>26</v>
      </c>
      <c r="M219" s="83" t="s">
        <v>11</v>
      </c>
      <c r="N219" s="85">
        <v>45938</v>
      </c>
      <c r="O219" s="86" t="s">
        <v>10</v>
      </c>
      <c r="P219" s="85" t="s">
        <v>9</v>
      </c>
      <c r="Q219" s="91">
        <v>974713130</v>
      </c>
      <c r="R219" s="87"/>
      <c r="S219" s="30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</row>
    <row r="220" spans="2:37" ht="16.2" x14ac:dyDescent="0.3">
      <c r="B220" s="80">
        <v>212</v>
      </c>
      <c r="C220" s="84" t="s">
        <v>404</v>
      </c>
      <c r="D220" s="82" t="s">
        <v>403</v>
      </c>
      <c r="E220" s="83">
        <v>6834</v>
      </c>
      <c r="F220" s="83" t="s">
        <v>16</v>
      </c>
      <c r="G220" s="83" t="s">
        <v>201</v>
      </c>
      <c r="H220" s="83" t="s">
        <v>14</v>
      </c>
      <c r="I220" s="83" t="s">
        <v>19</v>
      </c>
      <c r="J220" s="83">
        <v>35</v>
      </c>
      <c r="K220" s="84"/>
      <c r="L220" s="83" t="s">
        <v>26</v>
      </c>
      <c r="M220" s="83" t="s">
        <v>11</v>
      </c>
      <c r="N220" s="85">
        <v>45938</v>
      </c>
      <c r="O220" s="86" t="s">
        <v>10</v>
      </c>
      <c r="P220" s="85" t="s">
        <v>9</v>
      </c>
      <c r="Q220" s="91">
        <v>974713130</v>
      </c>
      <c r="R220" s="87"/>
      <c r="S220" s="30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</row>
    <row r="221" spans="2:37" ht="16.2" x14ac:dyDescent="0.3">
      <c r="B221" s="80">
        <v>213</v>
      </c>
      <c r="C221" s="84" t="s">
        <v>402</v>
      </c>
      <c r="D221" s="82" t="s">
        <v>401</v>
      </c>
      <c r="E221" s="83">
        <v>6840</v>
      </c>
      <c r="F221" s="83" t="s">
        <v>16</v>
      </c>
      <c r="G221" s="83" t="s">
        <v>22</v>
      </c>
      <c r="H221" s="83" t="s">
        <v>14</v>
      </c>
      <c r="I221" s="83" t="s">
        <v>19</v>
      </c>
      <c r="J221" s="83">
        <v>45</v>
      </c>
      <c r="K221" s="84"/>
      <c r="L221" s="83" t="s">
        <v>26</v>
      </c>
      <c r="M221" s="83" t="s">
        <v>11</v>
      </c>
      <c r="N221" s="85">
        <v>45938</v>
      </c>
      <c r="O221" s="86" t="s">
        <v>10</v>
      </c>
      <c r="P221" s="85" t="s">
        <v>20</v>
      </c>
      <c r="Q221" s="91">
        <v>979890797</v>
      </c>
      <c r="R221" s="87"/>
      <c r="S221" s="30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</row>
    <row r="222" spans="2:37" ht="16.2" x14ac:dyDescent="0.3">
      <c r="B222" s="80">
        <v>214</v>
      </c>
      <c r="C222" s="84" t="s">
        <v>400</v>
      </c>
      <c r="D222" s="82" t="s">
        <v>399</v>
      </c>
      <c r="E222" s="83">
        <v>6841</v>
      </c>
      <c r="F222" s="83" t="s">
        <v>16</v>
      </c>
      <c r="G222" s="84" t="s">
        <v>77</v>
      </c>
      <c r="H222" s="83" t="s">
        <v>14</v>
      </c>
      <c r="I222" s="83" t="s">
        <v>19</v>
      </c>
      <c r="J222" s="83">
        <v>40</v>
      </c>
      <c r="K222" s="84"/>
      <c r="L222" s="83" t="s">
        <v>26</v>
      </c>
      <c r="M222" s="83" t="s">
        <v>11</v>
      </c>
      <c r="N222" s="85">
        <v>45938</v>
      </c>
      <c r="O222" s="86" t="s">
        <v>10</v>
      </c>
      <c r="P222" s="85" t="s">
        <v>0</v>
      </c>
      <c r="Q222" s="91">
        <v>979890797</v>
      </c>
      <c r="R222" s="87"/>
      <c r="S222" s="30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</row>
    <row r="223" spans="2:37" ht="16.2" x14ac:dyDescent="0.3">
      <c r="B223" s="80">
        <v>215</v>
      </c>
      <c r="C223" s="84" t="s">
        <v>115</v>
      </c>
      <c r="D223" s="82" t="s">
        <v>114</v>
      </c>
      <c r="E223" s="83">
        <v>6842</v>
      </c>
      <c r="F223" s="83" t="s">
        <v>16</v>
      </c>
      <c r="G223" s="83" t="s">
        <v>113</v>
      </c>
      <c r="H223" s="83" t="s">
        <v>14</v>
      </c>
      <c r="I223" s="83" t="s">
        <v>56</v>
      </c>
      <c r="J223" s="83">
        <v>31.57</v>
      </c>
      <c r="K223" s="84"/>
      <c r="L223" s="83" t="s">
        <v>12</v>
      </c>
      <c r="M223" s="83" t="s">
        <v>11</v>
      </c>
      <c r="N223" s="85">
        <v>45938</v>
      </c>
      <c r="O223" s="86" t="s">
        <v>10</v>
      </c>
      <c r="P223" s="85" t="s">
        <v>20</v>
      </c>
      <c r="Q223" s="91" t="s">
        <v>111</v>
      </c>
      <c r="R223" s="87"/>
      <c r="S223" s="30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</row>
    <row r="224" spans="2:37" ht="16.2" x14ac:dyDescent="0.3">
      <c r="B224" s="80">
        <v>216</v>
      </c>
      <c r="C224" s="84" t="s">
        <v>398</v>
      </c>
      <c r="D224" s="82" t="s">
        <v>397</v>
      </c>
      <c r="E224" s="83">
        <v>6843</v>
      </c>
      <c r="F224" s="83" t="s">
        <v>16</v>
      </c>
      <c r="G224" s="83" t="s">
        <v>22</v>
      </c>
      <c r="H224" s="83" t="s">
        <v>14</v>
      </c>
      <c r="I224" s="83" t="s">
        <v>19</v>
      </c>
      <c r="J224" s="83">
        <v>45</v>
      </c>
      <c r="K224" s="84"/>
      <c r="L224" s="83" t="s">
        <v>12</v>
      </c>
      <c r="M224" s="83" t="s">
        <v>11</v>
      </c>
      <c r="N224" s="85">
        <v>45938</v>
      </c>
      <c r="O224" s="86" t="s">
        <v>10</v>
      </c>
      <c r="P224" s="85" t="s">
        <v>20</v>
      </c>
      <c r="Q224" s="91"/>
      <c r="R224" s="87"/>
      <c r="S224" s="30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</row>
    <row r="225" spans="2:37" ht="16.2" x14ac:dyDescent="0.3">
      <c r="B225" s="80">
        <v>217</v>
      </c>
      <c r="C225" s="84" t="s">
        <v>396</v>
      </c>
      <c r="D225" s="82" t="s">
        <v>395</v>
      </c>
      <c r="E225" s="83">
        <v>6845</v>
      </c>
      <c r="F225" s="83" t="s">
        <v>28</v>
      </c>
      <c r="G225" s="83" t="s">
        <v>31</v>
      </c>
      <c r="H225" s="83" t="s">
        <v>14</v>
      </c>
      <c r="I225" s="83" t="s">
        <v>19</v>
      </c>
      <c r="J225" s="83">
        <v>45</v>
      </c>
      <c r="K225" s="84"/>
      <c r="L225" s="83" t="s">
        <v>12</v>
      </c>
      <c r="M225" s="83" t="s">
        <v>11</v>
      </c>
      <c r="N225" s="85">
        <v>45938</v>
      </c>
      <c r="O225" s="86" t="s">
        <v>25</v>
      </c>
      <c r="P225" s="85" t="s">
        <v>20</v>
      </c>
      <c r="Q225" s="91"/>
      <c r="R225" s="87"/>
      <c r="S225" s="30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</row>
    <row r="226" spans="2:37" ht="16.2" x14ac:dyDescent="0.3">
      <c r="B226" s="80">
        <v>218</v>
      </c>
      <c r="C226" s="84" t="s">
        <v>394</v>
      </c>
      <c r="D226" s="82" t="s">
        <v>393</v>
      </c>
      <c r="E226" s="83">
        <v>6846</v>
      </c>
      <c r="F226" s="83" t="s">
        <v>16</v>
      </c>
      <c r="G226" s="83" t="s">
        <v>50</v>
      </c>
      <c r="H226" s="83" t="s">
        <v>14</v>
      </c>
      <c r="I226" s="83" t="s">
        <v>19</v>
      </c>
      <c r="J226" s="83">
        <v>40</v>
      </c>
      <c r="K226" s="84"/>
      <c r="L226" s="83" t="s">
        <v>12</v>
      </c>
      <c r="M226" s="83" t="s">
        <v>11</v>
      </c>
      <c r="N226" s="85">
        <v>45938</v>
      </c>
      <c r="O226" s="86" t="s">
        <v>10</v>
      </c>
      <c r="P226" s="85" t="s">
        <v>9</v>
      </c>
      <c r="Q226" s="91">
        <v>810025247</v>
      </c>
      <c r="R226" s="87"/>
      <c r="S226" s="30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</row>
    <row r="227" spans="2:37" ht="16.2" x14ac:dyDescent="0.3">
      <c r="B227" s="80">
        <v>219</v>
      </c>
      <c r="C227" s="84" t="s">
        <v>392</v>
      </c>
      <c r="D227" s="82" t="s">
        <v>391</v>
      </c>
      <c r="E227" s="83">
        <v>6847</v>
      </c>
      <c r="F227" s="83" t="s">
        <v>16</v>
      </c>
      <c r="G227" s="83" t="s">
        <v>77</v>
      </c>
      <c r="H227" s="83" t="s">
        <v>14</v>
      </c>
      <c r="I227" s="83" t="s">
        <v>19</v>
      </c>
      <c r="J227" s="83">
        <v>40</v>
      </c>
      <c r="K227" s="84"/>
      <c r="L227" s="83" t="s">
        <v>12</v>
      </c>
      <c r="M227" s="83" t="s">
        <v>11</v>
      </c>
      <c r="N227" s="85">
        <v>45938</v>
      </c>
      <c r="O227" s="86" t="s">
        <v>10</v>
      </c>
      <c r="P227" s="85" t="s">
        <v>0</v>
      </c>
      <c r="Q227" s="91">
        <v>816276094</v>
      </c>
      <c r="R227" s="87"/>
      <c r="S227" s="30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</row>
    <row r="228" spans="2:37" ht="16.2" x14ac:dyDescent="0.3">
      <c r="B228" s="80">
        <v>220</v>
      </c>
      <c r="C228" s="84" t="s">
        <v>390</v>
      </c>
      <c r="D228" s="82" t="s">
        <v>389</v>
      </c>
      <c r="E228" s="83">
        <v>6849</v>
      </c>
      <c r="F228" s="83" t="s">
        <v>16</v>
      </c>
      <c r="G228" s="83" t="s">
        <v>22</v>
      </c>
      <c r="H228" s="83" t="s">
        <v>14</v>
      </c>
      <c r="I228" s="83" t="s">
        <v>19</v>
      </c>
      <c r="J228" s="83">
        <v>45</v>
      </c>
      <c r="K228" s="84"/>
      <c r="L228" s="83" t="s">
        <v>26</v>
      </c>
      <c r="M228" s="83" t="s">
        <v>11</v>
      </c>
      <c r="N228" s="85">
        <v>45938</v>
      </c>
      <c r="O228" s="86" t="s">
        <v>10</v>
      </c>
      <c r="P228" s="85" t="s">
        <v>20</v>
      </c>
      <c r="Q228" s="91">
        <v>975557239</v>
      </c>
      <c r="R228" s="87"/>
      <c r="S228" s="30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</row>
    <row r="229" spans="2:37" ht="16.2" x14ac:dyDescent="0.3">
      <c r="B229" s="80">
        <v>221</v>
      </c>
      <c r="C229" s="84" t="s">
        <v>388</v>
      </c>
      <c r="D229" s="82" t="s">
        <v>387</v>
      </c>
      <c r="E229" s="83">
        <v>6851</v>
      </c>
      <c r="F229" s="83" t="s">
        <v>28</v>
      </c>
      <c r="G229" s="83" t="s">
        <v>83</v>
      </c>
      <c r="H229" s="83" t="s">
        <v>14</v>
      </c>
      <c r="I229" s="83" t="s">
        <v>19</v>
      </c>
      <c r="J229" s="83">
        <v>40</v>
      </c>
      <c r="K229" s="84"/>
      <c r="L229" s="83" t="s">
        <v>26</v>
      </c>
      <c r="M229" s="83" t="s">
        <v>11</v>
      </c>
      <c r="N229" s="85">
        <v>45938</v>
      </c>
      <c r="O229" s="86" t="s">
        <v>25</v>
      </c>
      <c r="P229" s="85" t="s">
        <v>9</v>
      </c>
      <c r="Q229" s="91">
        <v>973339729</v>
      </c>
      <c r="R229" s="87"/>
      <c r="S229" s="30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</row>
    <row r="230" spans="2:37" ht="16.2" x14ac:dyDescent="0.3">
      <c r="B230" s="80">
        <v>222</v>
      </c>
      <c r="C230" s="84" t="s">
        <v>386</v>
      </c>
      <c r="D230" s="82" t="s">
        <v>385</v>
      </c>
      <c r="E230" s="83">
        <v>6853</v>
      </c>
      <c r="F230" s="83" t="s">
        <v>16</v>
      </c>
      <c r="G230" s="84" t="s">
        <v>164</v>
      </c>
      <c r="H230" s="83" t="s">
        <v>14</v>
      </c>
      <c r="I230" s="83" t="s">
        <v>56</v>
      </c>
      <c r="J230" s="83">
        <v>70</v>
      </c>
      <c r="K230" s="84"/>
      <c r="L230" s="83" t="s">
        <v>12</v>
      </c>
      <c r="M230" s="83" t="s">
        <v>11</v>
      </c>
      <c r="N230" s="85">
        <v>45938</v>
      </c>
      <c r="O230" s="86" t="s">
        <v>25</v>
      </c>
      <c r="P230" s="85" t="s">
        <v>20</v>
      </c>
      <c r="Q230" s="91">
        <v>903180516</v>
      </c>
      <c r="R230" s="87"/>
      <c r="S230" s="30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</row>
    <row r="231" spans="2:37" ht="16.2" x14ac:dyDescent="0.3">
      <c r="B231" s="80">
        <v>223</v>
      </c>
      <c r="C231" s="84" t="s">
        <v>384</v>
      </c>
      <c r="D231" s="82" t="s">
        <v>383</v>
      </c>
      <c r="E231" s="83">
        <v>6854</v>
      </c>
      <c r="F231" s="83" t="s">
        <v>28</v>
      </c>
      <c r="G231" s="83" t="s">
        <v>50</v>
      </c>
      <c r="H231" s="83" t="s">
        <v>14</v>
      </c>
      <c r="I231" s="83" t="s">
        <v>19</v>
      </c>
      <c r="J231" s="83">
        <v>40</v>
      </c>
      <c r="K231" s="84"/>
      <c r="L231" s="83" t="s">
        <v>26</v>
      </c>
      <c r="M231" s="83" t="s">
        <v>11</v>
      </c>
      <c r="N231" s="85">
        <v>45938</v>
      </c>
      <c r="O231" s="86" t="s">
        <v>10</v>
      </c>
      <c r="P231" s="85" t="s">
        <v>9</v>
      </c>
      <c r="Q231" s="91" t="s">
        <v>382</v>
      </c>
      <c r="R231" s="87"/>
      <c r="S231" s="30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</row>
    <row r="232" spans="2:37" ht="16.2" x14ac:dyDescent="0.3">
      <c r="B232" s="80">
        <v>224</v>
      </c>
      <c r="C232" s="84" t="s">
        <v>381</v>
      </c>
      <c r="D232" s="82" t="s">
        <v>380</v>
      </c>
      <c r="E232" s="83">
        <v>6855</v>
      </c>
      <c r="F232" s="83" t="s">
        <v>28</v>
      </c>
      <c r="G232" s="83" t="s">
        <v>77</v>
      </c>
      <c r="H232" s="83" t="s">
        <v>14</v>
      </c>
      <c r="I232" s="83" t="s">
        <v>19</v>
      </c>
      <c r="J232" s="83">
        <v>40</v>
      </c>
      <c r="K232" s="84"/>
      <c r="L232" s="83" t="s">
        <v>26</v>
      </c>
      <c r="M232" s="83" t="s">
        <v>11</v>
      </c>
      <c r="N232" s="85">
        <v>45938</v>
      </c>
      <c r="O232" s="86" t="s">
        <v>10</v>
      </c>
      <c r="P232" s="85" t="s">
        <v>0</v>
      </c>
      <c r="Q232" s="91"/>
      <c r="R232" s="87"/>
      <c r="S232" s="30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</row>
    <row r="233" spans="2:37" ht="16.2" x14ac:dyDescent="0.3">
      <c r="B233" s="80">
        <v>225</v>
      </c>
      <c r="C233" s="84" t="s">
        <v>379</v>
      </c>
      <c r="D233" s="82" t="s">
        <v>378</v>
      </c>
      <c r="E233" s="83">
        <v>6856</v>
      </c>
      <c r="F233" s="83" t="s">
        <v>16</v>
      </c>
      <c r="G233" s="83" t="s">
        <v>164</v>
      </c>
      <c r="H233" s="83" t="s">
        <v>14</v>
      </c>
      <c r="I233" s="83" t="s">
        <v>19</v>
      </c>
      <c r="J233" s="83">
        <v>80</v>
      </c>
      <c r="K233" s="84"/>
      <c r="L233" s="83" t="s">
        <v>26</v>
      </c>
      <c r="M233" s="83" t="s">
        <v>11</v>
      </c>
      <c r="N233" s="85">
        <v>45938</v>
      </c>
      <c r="O233" s="86" t="s">
        <v>25</v>
      </c>
      <c r="P233" s="85" t="s">
        <v>20</v>
      </c>
      <c r="Q233" s="91">
        <v>977401415</v>
      </c>
      <c r="R233" s="87"/>
      <c r="S233" s="30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</row>
    <row r="234" spans="2:37" ht="16.2" x14ac:dyDescent="0.3">
      <c r="B234" s="80">
        <v>226</v>
      </c>
      <c r="C234" s="84" t="s">
        <v>377</v>
      </c>
      <c r="D234" s="82" t="s">
        <v>376</v>
      </c>
      <c r="E234" s="83">
        <v>6860</v>
      </c>
      <c r="F234" s="83" t="s">
        <v>16</v>
      </c>
      <c r="G234" s="83" t="s">
        <v>375</v>
      </c>
      <c r="H234" s="83" t="s">
        <v>14</v>
      </c>
      <c r="I234" s="83" t="s">
        <v>19</v>
      </c>
      <c r="J234" s="83">
        <v>45</v>
      </c>
      <c r="K234" s="83"/>
      <c r="L234" s="83" t="s">
        <v>12</v>
      </c>
      <c r="M234" s="83" t="s">
        <v>11</v>
      </c>
      <c r="N234" s="85">
        <v>45938</v>
      </c>
      <c r="O234" s="86" t="s">
        <v>10</v>
      </c>
      <c r="P234" s="85" t="s">
        <v>20</v>
      </c>
      <c r="Q234" s="91">
        <v>970377001</v>
      </c>
      <c r="R234" s="87"/>
      <c r="S234" s="30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</row>
    <row r="235" spans="2:37" ht="16.2" x14ac:dyDescent="0.3">
      <c r="B235" s="80">
        <v>227</v>
      </c>
      <c r="C235" s="84" t="s">
        <v>374</v>
      </c>
      <c r="D235" s="82" t="s">
        <v>373</v>
      </c>
      <c r="E235" s="83">
        <v>6861</v>
      </c>
      <c r="F235" s="84" t="s">
        <v>16</v>
      </c>
      <c r="G235" s="84" t="s">
        <v>22</v>
      </c>
      <c r="H235" s="84" t="s">
        <v>14</v>
      </c>
      <c r="I235" s="84" t="s">
        <v>19</v>
      </c>
      <c r="J235" s="84">
        <v>40</v>
      </c>
      <c r="K235" s="84"/>
      <c r="L235" s="84" t="s">
        <v>26</v>
      </c>
      <c r="M235" s="84" t="s">
        <v>11</v>
      </c>
      <c r="N235" s="85">
        <v>45938</v>
      </c>
      <c r="O235" s="86" t="s">
        <v>10</v>
      </c>
      <c r="P235" s="97" t="s">
        <v>20</v>
      </c>
      <c r="Q235" s="91">
        <v>970377001</v>
      </c>
      <c r="R235" s="91"/>
      <c r="S235" s="30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</row>
    <row r="236" spans="2:37" ht="16.2" x14ac:dyDescent="0.3">
      <c r="B236" s="80">
        <v>228</v>
      </c>
      <c r="C236" s="84" t="s">
        <v>372</v>
      </c>
      <c r="D236" s="82" t="s">
        <v>371</v>
      </c>
      <c r="E236" s="100">
        <v>6862</v>
      </c>
      <c r="F236" s="99" t="s">
        <v>28</v>
      </c>
      <c r="G236" s="84" t="s">
        <v>97</v>
      </c>
      <c r="H236" s="84" t="s">
        <v>14</v>
      </c>
      <c r="I236" s="84" t="s">
        <v>19</v>
      </c>
      <c r="J236" s="84">
        <v>100</v>
      </c>
      <c r="K236" s="84"/>
      <c r="L236" s="83" t="s">
        <v>12</v>
      </c>
      <c r="M236" s="83" t="s">
        <v>11</v>
      </c>
      <c r="N236" s="85">
        <v>45938</v>
      </c>
      <c r="O236" s="86" t="s">
        <v>25</v>
      </c>
      <c r="P236" s="85" t="s">
        <v>20</v>
      </c>
      <c r="Q236" s="91">
        <v>990953501</v>
      </c>
      <c r="R236" s="87"/>
      <c r="S236" s="30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</row>
    <row r="237" spans="2:37" ht="16.2" x14ac:dyDescent="0.3">
      <c r="B237" s="80">
        <v>229</v>
      </c>
      <c r="C237" s="84" t="s">
        <v>370</v>
      </c>
      <c r="D237" s="82" t="s">
        <v>369</v>
      </c>
      <c r="E237" s="83">
        <v>6863</v>
      </c>
      <c r="F237" s="83" t="s">
        <v>16</v>
      </c>
      <c r="G237" s="83" t="s">
        <v>185</v>
      </c>
      <c r="H237" s="83" t="s">
        <v>14</v>
      </c>
      <c r="I237" s="83" t="s">
        <v>19</v>
      </c>
      <c r="J237" s="83">
        <v>55</v>
      </c>
      <c r="K237" s="84"/>
      <c r="L237" s="83" t="s">
        <v>12</v>
      </c>
      <c r="M237" s="83" t="s">
        <v>11</v>
      </c>
      <c r="N237" s="85">
        <v>45938</v>
      </c>
      <c r="O237" s="86" t="s">
        <v>25</v>
      </c>
      <c r="P237" s="85" t="s">
        <v>20</v>
      </c>
      <c r="Q237" s="91">
        <v>990953501</v>
      </c>
      <c r="R237" s="87"/>
      <c r="S237" s="30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</row>
    <row r="238" spans="2:37" ht="16.2" x14ac:dyDescent="0.3">
      <c r="B238" s="80">
        <v>230</v>
      </c>
      <c r="C238" s="84" t="s">
        <v>368</v>
      </c>
      <c r="D238" s="82" t="s">
        <v>367</v>
      </c>
      <c r="E238" s="83">
        <v>6864</v>
      </c>
      <c r="F238" s="83" t="s">
        <v>28</v>
      </c>
      <c r="G238" s="83" t="s">
        <v>15</v>
      </c>
      <c r="H238" s="83" t="s">
        <v>14</v>
      </c>
      <c r="I238" s="83" t="s">
        <v>19</v>
      </c>
      <c r="J238" s="83">
        <v>40</v>
      </c>
      <c r="K238" s="84"/>
      <c r="L238" s="83" t="s">
        <v>12</v>
      </c>
      <c r="M238" s="83" t="s">
        <v>11</v>
      </c>
      <c r="N238" s="85">
        <v>45938</v>
      </c>
      <c r="O238" s="86" t="s">
        <v>10</v>
      </c>
      <c r="P238" s="85" t="s">
        <v>9</v>
      </c>
      <c r="Q238" s="91"/>
      <c r="R238" s="87"/>
      <c r="S238" s="30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</row>
    <row r="239" spans="2:37" ht="16.2" x14ac:dyDescent="0.3">
      <c r="B239" s="80">
        <v>231</v>
      </c>
      <c r="C239" s="84" t="s">
        <v>117</v>
      </c>
      <c r="D239" s="82" t="s">
        <v>116</v>
      </c>
      <c r="E239" s="83">
        <v>6865</v>
      </c>
      <c r="F239" s="83" t="s">
        <v>16</v>
      </c>
      <c r="G239" s="83" t="s">
        <v>37</v>
      </c>
      <c r="H239" s="83" t="s">
        <v>14</v>
      </c>
      <c r="I239" s="83" t="s">
        <v>56</v>
      </c>
      <c r="J239" s="83">
        <v>31.57</v>
      </c>
      <c r="K239" s="84"/>
      <c r="L239" s="83" t="s">
        <v>12</v>
      </c>
      <c r="M239" s="83" t="s">
        <v>11</v>
      </c>
      <c r="N239" s="85">
        <v>45938</v>
      </c>
      <c r="O239" s="86" t="s">
        <v>10</v>
      </c>
      <c r="P239" s="85" t="s">
        <v>20</v>
      </c>
      <c r="Q239" s="91">
        <v>990251755</v>
      </c>
      <c r="R239" s="87"/>
      <c r="S239" s="30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</row>
    <row r="240" spans="2:37" ht="16.2" x14ac:dyDescent="0.3">
      <c r="B240" s="80">
        <v>232</v>
      </c>
      <c r="C240" s="84" t="s">
        <v>366</v>
      </c>
      <c r="D240" s="82" t="s">
        <v>365</v>
      </c>
      <c r="E240" s="83">
        <v>6866</v>
      </c>
      <c r="F240" s="83" t="s">
        <v>16</v>
      </c>
      <c r="G240" s="83" t="s">
        <v>167</v>
      </c>
      <c r="H240" s="83" t="s">
        <v>14</v>
      </c>
      <c r="I240" s="83" t="s">
        <v>19</v>
      </c>
      <c r="J240" s="83">
        <v>80</v>
      </c>
      <c r="K240" s="84"/>
      <c r="L240" s="83" t="s">
        <v>12</v>
      </c>
      <c r="M240" s="83" t="s">
        <v>11</v>
      </c>
      <c r="N240" s="85">
        <v>45938</v>
      </c>
      <c r="O240" s="86" t="s">
        <v>25</v>
      </c>
      <c r="P240" s="85" t="s">
        <v>20</v>
      </c>
      <c r="Q240" s="91">
        <v>896653628</v>
      </c>
      <c r="R240" s="87"/>
      <c r="S240" s="30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</row>
    <row r="241" spans="2:37" ht="16.2" x14ac:dyDescent="0.3">
      <c r="B241" s="80">
        <v>233</v>
      </c>
      <c r="C241" s="84" t="s">
        <v>364</v>
      </c>
      <c r="D241" s="82" t="s">
        <v>363</v>
      </c>
      <c r="E241" s="83">
        <v>6867</v>
      </c>
      <c r="F241" s="83" t="s">
        <v>16</v>
      </c>
      <c r="G241" s="83" t="s">
        <v>37</v>
      </c>
      <c r="H241" s="83" t="s">
        <v>14</v>
      </c>
      <c r="I241" s="83" t="s">
        <v>19</v>
      </c>
      <c r="J241" s="83">
        <v>45</v>
      </c>
      <c r="K241" s="84"/>
      <c r="L241" s="83" t="s">
        <v>26</v>
      </c>
      <c r="M241" s="83" t="s">
        <v>11</v>
      </c>
      <c r="N241" s="85">
        <v>45938</v>
      </c>
      <c r="O241" s="86" t="s">
        <v>10</v>
      </c>
      <c r="P241" s="85" t="s">
        <v>20</v>
      </c>
      <c r="Q241" s="91">
        <v>896653628</v>
      </c>
      <c r="R241" s="87"/>
      <c r="S241" s="30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</row>
    <row r="242" spans="2:37" ht="16.2" x14ac:dyDescent="0.3">
      <c r="B242" s="80">
        <v>234</v>
      </c>
      <c r="C242" s="84" t="s">
        <v>362</v>
      </c>
      <c r="D242" s="82" t="s">
        <v>361</v>
      </c>
      <c r="E242" s="83">
        <v>6868</v>
      </c>
      <c r="F242" s="83" t="s">
        <v>28</v>
      </c>
      <c r="G242" s="83" t="s">
        <v>301</v>
      </c>
      <c r="H242" s="83" t="s">
        <v>14</v>
      </c>
      <c r="I242" s="83" t="s">
        <v>19</v>
      </c>
      <c r="J242" s="83">
        <v>80</v>
      </c>
      <c r="K242" s="84"/>
      <c r="L242" s="83" t="s">
        <v>26</v>
      </c>
      <c r="M242" s="83" t="s">
        <v>11</v>
      </c>
      <c r="N242" s="85">
        <v>45938</v>
      </c>
      <c r="O242" s="86" t="s">
        <v>25</v>
      </c>
      <c r="P242" s="85" t="s">
        <v>20</v>
      </c>
      <c r="Q242" s="91">
        <v>818444560</v>
      </c>
      <c r="R242" s="87"/>
      <c r="S242" s="30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</row>
    <row r="243" spans="2:37" ht="16.2" x14ac:dyDescent="0.3">
      <c r="B243" s="80">
        <v>235</v>
      </c>
      <c r="C243" s="84" t="s">
        <v>360</v>
      </c>
      <c r="D243" s="82" t="s">
        <v>359</v>
      </c>
      <c r="E243" s="83">
        <v>6869</v>
      </c>
      <c r="F243" s="83" t="s">
        <v>28</v>
      </c>
      <c r="G243" s="83" t="s">
        <v>127</v>
      </c>
      <c r="H243" s="83" t="s">
        <v>14</v>
      </c>
      <c r="I243" s="83" t="s">
        <v>56</v>
      </c>
      <c r="J243" s="83">
        <v>40</v>
      </c>
      <c r="K243" s="84"/>
      <c r="L243" s="83" t="s">
        <v>26</v>
      </c>
      <c r="M243" s="83" t="s">
        <v>11</v>
      </c>
      <c r="N243" s="85">
        <v>45938</v>
      </c>
      <c r="O243" s="86" t="s">
        <v>10</v>
      </c>
      <c r="P243" s="85" t="s">
        <v>20</v>
      </c>
      <c r="Q243" s="91">
        <v>814661612</v>
      </c>
      <c r="R243" s="87"/>
      <c r="S243" s="30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</row>
    <row r="244" spans="2:37" ht="16.2" x14ac:dyDescent="0.3">
      <c r="B244" s="80">
        <v>236</v>
      </c>
      <c r="C244" s="84" t="s">
        <v>358</v>
      </c>
      <c r="D244" s="82" t="s">
        <v>357</v>
      </c>
      <c r="E244" s="83">
        <v>6870</v>
      </c>
      <c r="F244" s="83" t="s">
        <v>16</v>
      </c>
      <c r="G244" s="83" t="s">
        <v>72</v>
      </c>
      <c r="H244" s="83" t="s">
        <v>14</v>
      </c>
      <c r="I244" s="83" t="s">
        <v>19</v>
      </c>
      <c r="J244" s="83">
        <v>55</v>
      </c>
      <c r="K244" s="84"/>
      <c r="L244" s="83" t="s">
        <v>12</v>
      </c>
      <c r="M244" s="83" t="s">
        <v>11</v>
      </c>
      <c r="N244" s="85">
        <v>45938</v>
      </c>
      <c r="O244" s="86" t="s">
        <v>25</v>
      </c>
      <c r="P244" s="85" t="s">
        <v>20</v>
      </c>
      <c r="Q244" s="91" t="s">
        <v>356</v>
      </c>
      <c r="R244" s="87"/>
      <c r="S244" s="30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</row>
    <row r="245" spans="2:37" ht="16.2" x14ac:dyDescent="0.3">
      <c r="B245" s="80">
        <v>237</v>
      </c>
      <c r="C245" s="84" t="s">
        <v>355</v>
      </c>
      <c r="D245" s="82" t="s">
        <v>354</v>
      </c>
      <c r="E245" s="83">
        <v>6872</v>
      </c>
      <c r="F245" s="84" t="s">
        <v>16</v>
      </c>
      <c r="G245" s="84" t="s">
        <v>146</v>
      </c>
      <c r="H245" s="84" t="s">
        <v>14</v>
      </c>
      <c r="I245" s="84" t="s">
        <v>56</v>
      </c>
      <c r="J245" s="84">
        <v>30</v>
      </c>
      <c r="K245" s="84"/>
      <c r="L245" s="84" t="s">
        <v>12</v>
      </c>
      <c r="M245" s="84" t="s">
        <v>11</v>
      </c>
      <c r="N245" s="85">
        <v>45938</v>
      </c>
      <c r="O245" s="86" t="s">
        <v>10</v>
      </c>
      <c r="P245" s="97" t="s">
        <v>20</v>
      </c>
      <c r="Q245" s="91">
        <v>810001139</v>
      </c>
      <c r="R245" s="91"/>
      <c r="S245" s="30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</row>
    <row r="246" spans="2:37" ht="16.2" x14ac:dyDescent="0.3">
      <c r="B246" s="80">
        <v>238</v>
      </c>
      <c r="C246" s="84" t="s">
        <v>353</v>
      </c>
      <c r="D246" s="82" t="s">
        <v>352</v>
      </c>
      <c r="E246" s="83">
        <v>6873</v>
      </c>
      <c r="F246" s="83" t="s">
        <v>28</v>
      </c>
      <c r="G246" s="83" t="s">
        <v>100</v>
      </c>
      <c r="H246" s="83" t="s">
        <v>14</v>
      </c>
      <c r="I246" s="83" t="s">
        <v>56</v>
      </c>
      <c r="J246" s="83">
        <v>30</v>
      </c>
      <c r="K246" s="84"/>
      <c r="L246" s="83" t="s">
        <v>12</v>
      </c>
      <c r="M246" s="83" t="s">
        <v>11</v>
      </c>
      <c r="N246" s="85">
        <v>45938</v>
      </c>
      <c r="O246" s="86" t="s">
        <v>10</v>
      </c>
      <c r="P246" s="85" t="s">
        <v>20</v>
      </c>
      <c r="Q246" s="91">
        <v>810001139</v>
      </c>
      <c r="R246" s="87"/>
      <c r="S246" s="30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</row>
    <row r="247" spans="2:37" ht="16.2" x14ac:dyDescent="0.3">
      <c r="B247" s="80">
        <v>239</v>
      </c>
      <c r="C247" s="84" t="s">
        <v>351</v>
      </c>
      <c r="D247" s="82" t="s">
        <v>350</v>
      </c>
      <c r="E247" s="100">
        <v>6874</v>
      </c>
      <c r="F247" s="99" t="s">
        <v>28</v>
      </c>
      <c r="G247" s="84" t="s">
        <v>301</v>
      </c>
      <c r="H247" s="84" t="s">
        <v>14</v>
      </c>
      <c r="I247" s="84" t="s">
        <v>19</v>
      </c>
      <c r="J247" s="84">
        <v>80</v>
      </c>
      <c r="K247" s="84"/>
      <c r="L247" s="83" t="s">
        <v>12</v>
      </c>
      <c r="M247" s="99" t="s">
        <v>11</v>
      </c>
      <c r="N247" s="85">
        <v>45938</v>
      </c>
      <c r="O247" s="86" t="s">
        <v>25</v>
      </c>
      <c r="P247" s="85" t="s">
        <v>20</v>
      </c>
      <c r="Q247" s="91">
        <v>996583994</v>
      </c>
      <c r="R247" s="87"/>
      <c r="S247" s="30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</row>
    <row r="248" spans="2:37" ht="16.2" x14ac:dyDescent="0.3">
      <c r="B248" s="80">
        <v>240</v>
      </c>
      <c r="C248" s="84" t="s">
        <v>349</v>
      </c>
      <c r="D248" s="82" t="s">
        <v>348</v>
      </c>
      <c r="E248" s="83">
        <v>6875</v>
      </c>
      <c r="F248" s="83" t="s">
        <v>28</v>
      </c>
      <c r="G248" s="83" t="s">
        <v>130</v>
      </c>
      <c r="H248" s="83" t="s">
        <v>14</v>
      </c>
      <c r="I248" s="83" t="s">
        <v>19</v>
      </c>
      <c r="J248" s="83">
        <v>55</v>
      </c>
      <c r="K248" s="84"/>
      <c r="L248" s="83" t="s">
        <v>12</v>
      </c>
      <c r="M248" s="99" t="s">
        <v>11</v>
      </c>
      <c r="N248" s="85">
        <v>45938</v>
      </c>
      <c r="O248" s="86" t="s">
        <v>10</v>
      </c>
      <c r="P248" s="85" t="s">
        <v>20</v>
      </c>
      <c r="Q248" s="91" t="s">
        <v>347</v>
      </c>
      <c r="R248" s="87"/>
      <c r="S248" s="30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</row>
    <row r="249" spans="2:37" ht="16.2" x14ac:dyDescent="0.3">
      <c r="B249" s="80">
        <v>241</v>
      </c>
      <c r="C249" s="84" t="s">
        <v>346</v>
      </c>
      <c r="D249" s="82" t="s">
        <v>345</v>
      </c>
      <c r="E249" s="83">
        <v>6876</v>
      </c>
      <c r="F249" s="83" t="s">
        <v>16</v>
      </c>
      <c r="G249" s="83" t="s">
        <v>46</v>
      </c>
      <c r="H249" s="83" t="s">
        <v>14</v>
      </c>
      <c r="I249" s="83" t="s">
        <v>19</v>
      </c>
      <c r="J249" s="83">
        <v>40</v>
      </c>
      <c r="K249" s="84"/>
      <c r="L249" s="83" t="s">
        <v>26</v>
      </c>
      <c r="M249" s="99" t="s">
        <v>11</v>
      </c>
      <c r="N249" s="85">
        <v>45938</v>
      </c>
      <c r="O249" s="86" t="s">
        <v>10</v>
      </c>
      <c r="P249" s="85" t="s">
        <v>0</v>
      </c>
      <c r="Q249" s="91">
        <v>970969828</v>
      </c>
      <c r="R249" s="87"/>
      <c r="S249" s="30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</row>
    <row r="250" spans="2:37" ht="16.2" x14ac:dyDescent="0.3">
      <c r="B250" s="80">
        <v>242</v>
      </c>
      <c r="C250" s="84" t="s">
        <v>344</v>
      </c>
      <c r="D250" s="82" t="s">
        <v>343</v>
      </c>
      <c r="E250" s="83">
        <v>6877</v>
      </c>
      <c r="F250" s="83" t="s">
        <v>28</v>
      </c>
      <c r="G250" s="83" t="s">
        <v>100</v>
      </c>
      <c r="H250" s="83" t="s">
        <v>14</v>
      </c>
      <c r="I250" s="83" t="s">
        <v>19</v>
      </c>
      <c r="J250" s="83">
        <v>55</v>
      </c>
      <c r="K250" s="84"/>
      <c r="L250" s="83" t="s">
        <v>12</v>
      </c>
      <c r="M250" s="99" t="s">
        <v>11</v>
      </c>
      <c r="N250" s="85">
        <v>45938</v>
      </c>
      <c r="O250" s="86" t="s">
        <v>25</v>
      </c>
      <c r="P250" s="85" t="s">
        <v>20</v>
      </c>
      <c r="Q250" s="91">
        <v>975055041</v>
      </c>
      <c r="R250" s="87"/>
      <c r="S250" s="30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</row>
    <row r="251" spans="2:37" ht="16.2" x14ac:dyDescent="0.3">
      <c r="B251" s="80">
        <v>243</v>
      </c>
      <c r="C251" s="81" t="s">
        <v>342</v>
      </c>
      <c r="D251" s="82" t="s">
        <v>341</v>
      </c>
      <c r="E251" s="83">
        <v>6899</v>
      </c>
      <c r="F251" s="83" t="s">
        <v>28</v>
      </c>
      <c r="G251" s="83" t="s">
        <v>124</v>
      </c>
      <c r="H251" s="83" t="s">
        <v>14</v>
      </c>
      <c r="I251" s="83" t="s">
        <v>19</v>
      </c>
      <c r="J251" s="83">
        <v>55</v>
      </c>
      <c r="K251" s="84"/>
      <c r="L251" s="83" t="s">
        <v>26</v>
      </c>
      <c r="M251" s="99" t="s">
        <v>112</v>
      </c>
      <c r="N251" s="85">
        <v>45939</v>
      </c>
      <c r="O251" s="86" t="s">
        <v>10</v>
      </c>
      <c r="P251" s="85" t="s">
        <v>20</v>
      </c>
      <c r="Q251" s="91"/>
      <c r="R251" s="87"/>
      <c r="S251" s="30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</row>
    <row r="252" spans="2:37" ht="16.2" x14ac:dyDescent="0.3">
      <c r="B252" s="80">
        <v>244</v>
      </c>
      <c r="C252" s="84" t="s">
        <v>340</v>
      </c>
      <c r="D252" s="82" t="s">
        <v>339</v>
      </c>
      <c r="E252" s="100">
        <v>6900</v>
      </c>
      <c r="F252" s="99" t="s">
        <v>16</v>
      </c>
      <c r="G252" s="84" t="s">
        <v>83</v>
      </c>
      <c r="H252" s="84" t="s">
        <v>14</v>
      </c>
      <c r="I252" s="84" t="s">
        <v>19</v>
      </c>
      <c r="J252" s="84">
        <v>40</v>
      </c>
      <c r="K252" s="84"/>
      <c r="L252" s="83" t="s">
        <v>26</v>
      </c>
      <c r="M252" s="99" t="s">
        <v>112</v>
      </c>
      <c r="N252" s="85">
        <v>45939</v>
      </c>
      <c r="O252" s="86" t="s">
        <v>10</v>
      </c>
      <c r="P252" s="85" t="s">
        <v>9</v>
      </c>
      <c r="Q252" s="91"/>
      <c r="R252" s="87"/>
      <c r="S252" s="30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</row>
    <row r="253" spans="2:37" ht="16.2" x14ac:dyDescent="0.3">
      <c r="B253" s="80">
        <v>245</v>
      </c>
      <c r="C253" s="84" t="s">
        <v>338</v>
      </c>
      <c r="D253" s="82" t="s">
        <v>337</v>
      </c>
      <c r="E253" s="83">
        <v>6901</v>
      </c>
      <c r="F253" s="83" t="s">
        <v>28</v>
      </c>
      <c r="G253" s="83" t="s">
        <v>15</v>
      </c>
      <c r="H253" s="83" t="s">
        <v>14</v>
      </c>
      <c r="I253" s="83" t="s">
        <v>19</v>
      </c>
      <c r="J253" s="83">
        <v>40</v>
      </c>
      <c r="K253" s="84"/>
      <c r="L253" s="83" t="s">
        <v>26</v>
      </c>
      <c r="M253" s="99" t="s">
        <v>112</v>
      </c>
      <c r="N253" s="85">
        <v>45939</v>
      </c>
      <c r="O253" s="86" t="s">
        <v>10</v>
      </c>
      <c r="P253" s="85" t="s">
        <v>9</v>
      </c>
      <c r="Q253" s="91"/>
      <c r="R253" s="87"/>
      <c r="S253" s="30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</row>
    <row r="254" spans="2:37" ht="16.2" x14ac:dyDescent="0.3">
      <c r="B254" s="80">
        <v>246</v>
      </c>
      <c r="C254" s="84" t="s">
        <v>336</v>
      </c>
      <c r="D254" s="82" t="s">
        <v>335</v>
      </c>
      <c r="E254" s="83">
        <v>6904</v>
      </c>
      <c r="F254" s="83" t="s">
        <v>16</v>
      </c>
      <c r="G254" s="83" t="s">
        <v>37</v>
      </c>
      <c r="H254" s="83" t="s">
        <v>14</v>
      </c>
      <c r="I254" s="83" t="s">
        <v>56</v>
      </c>
      <c r="J254" s="83">
        <v>40</v>
      </c>
      <c r="K254" s="84"/>
      <c r="L254" s="83" t="s">
        <v>12</v>
      </c>
      <c r="M254" s="99" t="s">
        <v>112</v>
      </c>
      <c r="N254" s="85">
        <v>45939</v>
      </c>
      <c r="O254" s="86" t="s">
        <v>10</v>
      </c>
      <c r="P254" s="85" t="s">
        <v>20</v>
      </c>
      <c r="Q254" s="91">
        <v>991818650</v>
      </c>
      <c r="R254" s="87"/>
      <c r="S254" s="30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</row>
    <row r="255" spans="2:37" ht="16.2" x14ac:dyDescent="0.3">
      <c r="B255" s="80">
        <v>247</v>
      </c>
      <c r="C255" s="84" t="s">
        <v>334</v>
      </c>
      <c r="D255" s="82" t="s">
        <v>333</v>
      </c>
      <c r="E255" s="83">
        <v>6905</v>
      </c>
      <c r="F255" s="83" t="s">
        <v>16</v>
      </c>
      <c r="G255" s="83" t="s">
        <v>140</v>
      </c>
      <c r="H255" s="83" t="s">
        <v>14</v>
      </c>
      <c r="I255" s="83" t="s">
        <v>19</v>
      </c>
      <c r="J255" s="83">
        <v>55</v>
      </c>
      <c r="K255" s="84"/>
      <c r="L255" s="83" t="s">
        <v>12</v>
      </c>
      <c r="M255" s="83" t="s">
        <v>112</v>
      </c>
      <c r="N255" s="85">
        <v>45939</v>
      </c>
      <c r="O255" s="86" t="s">
        <v>25</v>
      </c>
      <c r="P255" s="85" t="s">
        <v>20</v>
      </c>
      <c r="Q255" s="91">
        <v>893678116</v>
      </c>
      <c r="R255" s="87"/>
      <c r="S255" s="30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</row>
    <row r="256" spans="2:37" ht="16.2" x14ac:dyDescent="0.3">
      <c r="B256" s="80">
        <v>248</v>
      </c>
      <c r="C256" s="84" t="s">
        <v>332</v>
      </c>
      <c r="D256" s="82" t="s">
        <v>331</v>
      </c>
      <c r="E256" s="83">
        <v>6906</v>
      </c>
      <c r="F256" s="83" t="s">
        <v>16</v>
      </c>
      <c r="G256" s="83" t="s">
        <v>164</v>
      </c>
      <c r="H256" s="83" t="s">
        <v>14</v>
      </c>
      <c r="I256" s="83" t="s">
        <v>19</v>
      </c>
      <c r="J256" s="83">
        <v>80</v>
      </c>
      <c r="K256" s="84"/>
      <c r="L256" s="83" t="s">
        <v>26</v>
      </c>
      <c r="M256" s="83" t="s">
        <v>112</v>
      </c>
      <c r="N256" s="85">
        <v>45939</v>
      </c>
      <c r="O256" s="86" t="s">
        <v>25</v>
      </c>
      <c r="P256" s="85" t="s">
        <v>20</v>
      </c>
      <c r="Q256" s="91">
        <v>974779917</v>
      </c>
      <c r="R256" s="87"/>
      <c r="S256" s="30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</row>
    <row r="257" spans="2:37" ht="16.2" x14ac:dyDescent="0.3">
      <c r="B257" s="80">
        <v>249</v>
      </c>
      <c r="C257" s="84" t="s">
        <v>330</v>
      </c>
      <c r="D257" s="82" t="s">
        <v>329</v>
      </c>
      <c r="E257" s="83">
        <v>6910</v>
      </c>
      <c r="F257" s="83" t="s">
        <v>16</v>
      </c>
      <c r="G257" s="83" t="s">
        <v>37</v>
      </c>
      <c r="H257" s="83" t="s">
        <v>14</v>
      </c>
      <c r="I257" s="83" t="s">
        <v>19</v>
      </c>
      <c r="J257" s="83">
        <v>40</v>
      </c>
      <c r="K257" s="84"/>
      <c r="L257" s="83" t="s">
        <v>26</v>
      </c>
      <c r="M257" s="83" t="s">
        <v>112</v>
      </c>
      <c r="N257" s="85">
        <v>45939</v>
      </c>
      <c r="O257" s="86" t="s">
        <v>10</v>
      </c>
      <c r="P257" s="85" t="s">
        <v>20</v>
      </c>
      <c r="Q257" s="91" t="s">
        <v>328</v>
      </c>
      <c r="R257" s="87"/>
      <c r="S257" s="30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</row>
    <row r="258" spans="2:37" ht="16.2" x14ac:dyDescent="0.3">
      <c r="B258" s="80">
        <v>250</v>
      </c>
      <c r="C258" s="84" t="s">
        <v>330</v>
      </c>
      <c r="D258" s="82" t="s">
        <v>329</v>
      </c>
      <c r="E258" s="83">
        <v>6911</v>
      </c>
      <c r="F258" s="83" t="s">
        <v>16</v>
      </c>
      <c r="G258" s="83" t="s">
        <v>37</v>
      </c>
      <c r="H258" s="83" t="s">
        <v>14</v>
      </c>
      <c r="I258" s="83" t="s">
        <v>13</v>
      </c>
      <c r="J258" s="83">
        <v>40</v>
      </c>
      <c r="K258" s="84"/>
      <c r="L258" s="83" t="s">
        <v>26</v>
      </c>
      <c r="M258" s="83" t="s">
        <v>112</v>
      </c>
      <c r="N258" s="85">
        <v>45939</v>
      </c>
      <c r="O258" s="86" t="s">
        <v>10</v>
      </c>
      <c r="P258" s="85" t="s">
        <v>20</v>
      </c>
      <c r="Q258" s="91" t="s">
        <v>328</v>
      </c>
      <c r="R258" s="87"/>
      <c r="S258" s="30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</row>
    <row r="259" spans="2:37" ht="16.2" x14ac:dyDescent="0.3">
      <c r="B259" s="80">
        <v>251</v>
      </c>
      <c r="C259" s="84" t="s">
        <v>327</v>
      </c>
      <c r="D259" s="82" t="s">
        <v>326</v>
      </c>
      <c r="E259" s="83">
        <v>6912</v>
      </c>
      <c r="F259" s="83" t="s">
        <v>16</v>
      </c>
      <c r="G259" s="83" t="s">
        <v>83</v>
      </c>
      <c r="H259" s="83" t="s">
        <v>14</v>
      </c>
      <c r="I259" s="83" t="s">
        <v>19</v>
      </c>
      <c r="J259" s="83">
        <v>40</v>
      </c>
      <c r="K259" s="84"/>
      <c r="L259" s="83" t="s">
        <v>26</v>
      </c>
      <c r="M259" s="83" t="s">
        <v>112</v>
      </c>
      <c r="N259" s="85">
        <v>45939</v>
      </c>
      <c r="O259" s="86" t="s">
        <v>10</v>
      </c>
      <c r="P259" s="85" t="s">
        <v>9</v>
      </c>
      <c r="Q259" s="91">
        <v>995622440</v>
      </c>
      <c r="R259" s="87"/>
      <c r="S259" s="30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</row>
    <row r="260" spans="2:37" ht="16.2" x14ac:dyDescent="0.3">
      <c r="B260" s="80">
        <v>252</v>
      </c>
      <c r="C260" s="84" t="s">
        <v>327</v>
      </c>
      <c r="D260" s="82" t="s">
        <v>326</v>
      </c>
      <c r="E260" s="83">
        <v>6913</v>
      </c>
      <c r="F260" s="83" t="s">
        <v>16</v>
      </c>
      <c r="G260" s="84" t="s">
        <v>83</v>
      </c>
      <c r="H260" s="83" t="s">
        <v>14</v>
      </c>
      <c r="I260" s="83" t="s">
        <v>13</v>
      </c>
      <c r="J260" s="83">
        <v>40</v>
      </c>
      <c r="K260" s="84"/>
      <c r="L260" s="83" t="s">
        <v>26</v>
      </c>
      <c r="M260" s="83" t="s">
        <v>112</v>
      </c>
      <c r="N260" s="85">
        <v>45939</v>
      </c>
      <c r="O260" s="86" t="s">
        <v>10</v>
      </c>
      <c r="P260" s="85" t="s">
        <v>9</v>
      </c>
      <c r="Q260" s="91">
        <v>995622440</v>
      </c>
      <c r="R260" s="87"/>
      <c r="S260" s="30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</row>
    <row r="261" spans="2:37" ht="16.2" x14ac:dyDescent="0.3">
      <c r="B261" s="80">
        <v>253</v>
      </c>
      <c r="C261" s="84" t="s">
        <v>325</v>
      </c>
      <c r="D261" s="82" t="s">
        <v>324</v>
      </c>
      <c r="E261" s="83">
        <v>6914</v>
      </c>
      <c r="F261" s="83" t="s">
        <v>16</v>
      </c>
      <c r="G261" s="83" t="s">
        <v>50</v>
      </c>
      <c r="H261" s="83" t="s">
        <v>14</v>
      </c>
      <c r="I261" s="83" t="s">
        <v>19</v>
      </c>
      <c r="J261" s="83">
        <v>40</v>
      </c>
      <c r="K261" s="84"/>
      <c r="L261" s="83" t="s">
        <v>26</v>
      </c>
      <c r="M261" s="83" t="s">
        <v>112</v>
      </c>
      <c r="N261" s="85">
        <v>45939</v>
      </c>
      <c r="O261" s="86" t="s">
        <v>10</v>
      </c>
      <c r="P261" s="85" t="s">
        <v>9</v>
      </c>
      <c r="Q261" s="91"/>
      <c r="R261" s="87"/>
      <c r="S261" s="30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</row>
    <row r="262" spans="2:37" ht="16.5" customHeight="1" x14ac:dyDescent="0.3">
      <c r="B262" s="80">
        <v>254</v>
      </c>
      <c r="C262" s="84" t="s">
        <v>323</v>
      </c>
      <c r="D262" s="107" t="s">
        <v>322</v>
      </c>
      <c r="E262" s="83">
        <v>6916</v>
      </c>
      <c r="F262" s="84" t="s">
        <v>28</v>
      </c>
      <c r="G262" s="83" t="s">
        <v>83</v>
      </c>
      <c r="H262" s="83" t="s">
        <v>14</v>
      </c>
      <c r="I262" s="84" t="s">
        <v>56</v>
      </c>
      <c r="J262" s="84">
        <v>20</v>
      </c>
      <c r="K262" s="84"/>
      <c r="L262" s="84" t="s">
        <v>12</v>
      </c>
      <c r="M262" s="84" t="s">
        <v>112</v>
      </c>
      <c r="N262" s="85">
        <v>45939</v>
      </c>
      <c r="O262" s="86" t="s">
        <v>10</v>
      </c>
      <c r="P262" s="97" t="s">
        <v>9</v>
      </c>
      <c r="Q262" s="91">
        <v>971520050</v>
      </c>
      <c r="R262" s="91"/>
      <c r="S262" s="30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</row>
    <row r="263" spans="2:37" ht="15" customHeight="1" x14ac:dyDescent="0.3">
      <c r="B263" s="80">
        <v>255</v>
      </c>
      <c r="C263" s="84" t="s">
        <v>321</v>
      </c>
      <c r="D263" s="82" t="s">
        <v>320</v>
      </c>
      <c r="E263" s="83">
        <v>6917</v>
      </c>
      <c r="F263" s="83" t="s">
        <v>28</v>
      </c>
      <c r="G263" s="83" t="s">
        <v>40</v>
      </c>
      <c r="H263" s="83" t="s">
        <v>14</v>
      </c>
      <c r="I263" s="83" t="s">
        <v>19</v>
      </c>
      <c r="J263" s="83">
        <v>40</v>
      </c>
      <c r="K263" s="84"/>
      <c r="L263" s="83" t="s">
        <v>26</v>
      </c>
      <c r="M263" s="83" t="s">
        <v>112</v>
      </c>
      <c r="N263" s="85">
        <v>45939</v>
      </c>
      <c r="O263" s="86" t="s">
        <v>10</v>
      </c>
      <c r="P263" s="85" t="s">
        <v>0</v>
      </c>
      <c r="Q263" s="91">
        <v>975539375</v>
      </c>
      <c r="R263" s="87"/>
      <c r="S263" s="30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</row>
    <row r="264" spans="2:37" ht="16.2" x14ac:dyDescent="0.3">
      <c r="B264" s="80">
        <v>256</v>
      </c>
      <c r="C264" s="84" t="s">
        <v>319</v>
      </c>
      <c r="D264" s="82" t="s">
        <v>318</v>
      </c>
      <c r="E264" s="83">
        <v>6918</v>
      </c>
      <c r="F264" s="83" t="s">
        <v>28</v>
      </c>
      <c r="G264" s="83" t="s">
        <v>106</v>
      </c>
      <c r="H264" s="83" t="s">
        <v>14</v>
      </c>
      <c r="I264" s="83" t="s">
        <v>19</v>
      </c>
      <c r="J264" s="83">
        <v>100</v>
      </c>
      <c r="K264" s="84"/>
      <c r="L264" s="83" t="s">
        <v>26</v>
      </c>
      <c r="M264" s="83" t="s">
        <v>112</v>
      </c>
      <c r="N264" s="85">
        <v>45939</v>
      </c>
      <c r="O264" s="86" t="s">
        <v>25</v>
      </c>
      <c r="P264" s="85" t="s">
        <v>20</v>
      </c>
      <c r="Q264" s="91">
        <v>814094493</v>
      </c>
      <c r="R264" s="87"/>
      <c r="S264" s="30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</row>
    <row r="265" spans="2:37" ht="16.2" x14ac:dyDescent="0.3">
      <c r="B265" s="80">
        <v>257</v>
      </c>
      <c r="C265" s="84" t="s">
        <v>317</v>
      </c>
      <c r="D265" s="82" t="s">
        <v>316</v>
      </c>
      <c r="E265" s="83">
        <v>6919</v>
      </c>
      <c r="F265" s="83" t="s">
        <v>28</v>
      </c>
      <c r="G265" s="83" t="s">
        <v>100</v>
      </c>
      <c r="H265" s="83" t="s">
        <v>14</v>
      </c>
      <c r="I265" s="83" t="s">
        <v>19</v>
      </c>
      <c r="J265" s="83">
        <v>50</v>
      </c>
      <c r="K265" s="84"/>
      <c r="L265" s="83" t="s">
        <v>26</v>
      </c>
      <c r="M265" s="83" t="s">
        <v>112</v>
      </c>
      <c r="N265" s="85">
        <v>45939</v>
      </c>
      <c r="O265" s="86" t="s">
        <v>10</v>
      </c>
      <c r="P265" s="85" t="s">
        <v>20</v>
      </c>
      <c r="Q265" s="91">
        <v>897338007</v>
      </c>
      <c r="R265" s="87"/>
      <c r="S265" s="30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</row>
    <row r="266" spans="2:37" ht="16.2" x14ac:dyDescent="0.3">
      <c r="B266" s="80">
        <v>258</v>
      </c>
      <c r="C266" s="84" t="s">
        <v>187</v>
      </c>
      <c r="D266" s="82" t="s">
        <v>186</v>
      </c>
      <c r="E266" s="83">
        <v>6921</v>
      </c>
      <c r="F266" s="83" t="s">
        <v>16</v>
      </c>
      <c r="G266" s="83" t="s">
        <v>185</v>
      </c>
      <c r="H266" s="83" t="s">
        <v>14</v>
      </c>
      <c r="I266" s="83" t="s">
        <v>56</v>
      </c>
      <c r="J266" s="83">
        <v>35.08</v>
      </c>
      <c r="K266" s="84"/>
      <c r="L266" s="83" t="s">
        <v>26</v>
      </c>
      <c r="M266" s="83" t="s">
        <v>112</v>
      </c>
      <c r="N266" s="85">
        <v>45939</v>
      </c>
      <c r="O266" s="86" t="s">
        <v>10</v>
      </c>
      <c r="P266" s="85" t="s">
        <v>20</v>
      </c>
      <c r="Q266" s="91">
        <v>974735441</v>
      </c>
      <c r="R266" s="87"/>
      <c r="S266" s="30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</row>
    <row r="267" spans="2:37" ht="16.2" x14ac:dyDescent="0.3">
      <c r="B267" s="80">
        <v>259</v>
      </c>
      <c r="C267" s="84" t="s">
        <v>315</v>
      </c>
      <c r="D267" s="82" t="s">
        <v>314</v>
      </c>
      <c r="E267" s="83">
        <v>6922</v>
      </c>
      <c r="F267" s="83" t="s">
        <v>16</v>
      </c>
      <c r="G267" s="83" t="s">
        <v>83</v>
      </c>
      <c r="H267" s="83" t="s">
        <v>14</v>
      </c>
      <c r="I267" s="83" t="s">
        <v>19</v>
      </c>
      <c r="J267" s="83">
        <v>40</v>
      </c>
      <c r="K267" s="84"/>
      <c r="L267" s="83" t="s">
        <v>12</v>
      </c>
      <c r="M267" s="83" t="s">
        <v>112</v>
      </c>
      <c r="N267" s="85">
        <v>45939</v>
      </c>
      <c r="O267" s="86" t="s">
        <v>10</v>
      </c>
      <c r="P267" s="85" t="s">
        <v>9</v>
      </c>
      <c r="Q267" s="91">
        <v>970457727</v>
      </c>
      <c r="R267" s="87"/>
      <c r="S267" s="30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</row>
    <row r="268" spans="2:37" ht="16.2" x14ac:dyDescent="0.3">
      <c r="B268" s="80">
        <v>260</v>
      </c>
      <c r="C268" s="84" t="s">
        <v>313</v>
      </c>
      <c r="D268" s="82" t="s">
        <v>312</v>
      </c>
      <c r="E268" s="83">
        <v>6923</v>
      </c>
      <c r="F268" s="83" t="s">
        <v>16</v>
      </c>
      <c r="G268" s="84" t="s">
        <v>97</v>
      </c>
      <c r="H268" s="83" t="s">
        <v>14</v>
      </c>
      <c r="I268" s="83" t="s">
        <v>19</v>
      </c>
      <c r="J268" s="83">
        <v>80</v>
      </c>
      <c r="K268" s="84"/>
      <c r="L268" s="83" t="s">
        <v>12</v>
      </c>
      <c r="M268" s="83" t="s">
        <v>112</v>
      </c>
      <c r="N268" s="85">
        <v>45939</v>
      </c>
      <c r="O268" s="86" t="s">
        <v>25</v>
      </c>
      <c r="P268" s="85" t="s">
        <v>20</v>
      </c>
      <c r="Q268" s="91">
        <v>997774746</v>
      </c>
      <c r="R268" s="87"/>
      <c r="S268" s="30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</row>
    <row r="269" spans="2:37" ht="16.2" x14ac:dyDescent="0.3">
      <c r="B269" s="80">
        <v>261</v>
      </c>
      <c r="C269" s="84" t="s">
        <v>311</v>
      </c>
      <c r="D269" s="82" t="s">
        <v>310</v>
      </c>
      <c r="E269" s="83">
        <v>6924</v>
      </c>
      <c r="F269" s="83" t="s">
        <v>16</v>
      </c>
      <c r="G269" s="84" t="s">
        <v>65</v>
      </c>
      <c r="H269" s="83" t="s">
        <v>14</v>
      </c>
      <c r="I269" s="83" t="s">
        <v>19</v>
      </c>
      <c r="J269" s="83">
        <v>45</v>
      </c>
      <c r="K269" s="83"/>
      <c r="L269" s="83" t="s">
        <v>12</v>
      </c>
      <c r="M269" s="83" t="s">
        <v>112</v>
      </c>
      <c r="N269" s="85">
        <v>45939</v>
      </c>
      <c r="O269" s="86" t="s">
        <v>10</v>
      </c>
      <c r="P269" s="85" t="s">
        <v>20</v>
      </c>
      <c r="Q269" s="91" t="s">
        <v>309</v>
      </c>
      <c r="R269" s="87"/>
      <c r="S269" s="30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</row>
    <row r="270" spans="2:37" ht="16.2" x14ac:dyDescent="0.3">
      <c r="B270" s="80">
        <v>262</v>
      </c>
      <c r="C270" s="84" t="s">
        <v>308</v>
      </c>
      <c r="D270" s="82" t="s">
        <v>307</v>
      </c>
      <c r="E270" s="83">
        <v>6925</v>
      </c>
      <c r="F270" s="83" t="s">
        <v>28</v>
      </c>
      <c r="G270" s="83" t="s">
        <v>161</v>
      </c>
      <c r="H270" s="83" t="s">
        <v>14</v>
      </c>
      <c r="I270" s="83" t="s">
        <v>56</v>
      </c>
      <c r="J270" s="83">
        <v>50</v>
      </c>
      <c r="K270" s="84"/>
      <c r="L270" s="83" t="s">
        <v>26</v>
      </c>
      <c r="M270" s="83" t="s">
        <v>112</v>
      </c>
      <c r="N270" s="85">
        <v>45939</v>
      </c>
      <c r="O270" s="86" t="s">
        <v>25</v>
      </c>
      <c r="P270" s="85" t="s">
        <v>20</v>
      </c>
      <c r="Q270" s="91">
        <v>993411011</v>
      </c>
      <c r="R270" s="87"/>
      <c r="S270" s="30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</row>
    <row r="271" spans="2:37" ht="16.2" x14ac:dyDescent="0.3">
      <c r="B271" s="80">
        <v>263</v>
      </c>
      <c r="C271" s="84" t="s">
        <v>306</v>
      </c>
      <c r="D271" s="82" t="s">
        <v>305</v>
      </c>
      <c r="E271" s="83">
        <v>6926</v>
      </c>
      <c r="F271" s="83" t="s">
        <v>16</v>
      </c>
      <c r="G271" s="84" t="s">
        <v>77</v>
      </c>
      <c r="H271" s="83" t="s">
        <v>14</v>
      </c>
      <c r="I271" s="83" t="s">
        <v>56</v>
      </c>
      <c r="J271" s="83">
        <v>30</v>
      </c>
      <c r="K271" s="84"/>
      <c r="L271" s="83" t="s">
        <v>26</v>
      </c>
      <c r="M271" s="83" t="s">
        <v>112</v>
      </c>
      <c r="N271" s="85">
        <v>45939</v>
      </c>
      <c r="O271" s="86" t="s">
        <v>10</v>
      </c>
      <c r="P271" s="85" t="s">
        <v>0</v>
      </c>
      <c r="Q271" s="91" t="s">
        <v>304</v>
      </c>
      <c r="R271" s="87"/>
      <c r="S271" s="30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</row>
    <row r="272" spans="2:37" ht="16.2" x14ac:dyDescent="0.3">
      <c r="B272" s="80">
        <v>264</v>
      </c>
      <c r="C272" s="84" t="s">
        <v>303</v>
      </c>
      <c r="D272" s="82" t="s">
        <v>302</v>
      </c>
      <c r="E272" s="83">
        <v>6927</v>
      </c>
      <c r="F272" s="83" t="s">
        <v>28</v>
      </c>
      <c r="G272" s="83" t="s">
        <v>301</v>
      </c>
      <c r="H272" s="83" t="s">
        <v>14</v>
      </c>
      <c r="I272" s="83" t="s">
        <v>56</v>
      </c>
      <c r="J272" s="83">
        <v>40</v>
      </c>
      <c r="K272" s="84"/>
      <c r="L272" s="83" t="s">
        <v>12</v>
      </c>
      <c r="M272" s="83" t="s">
        <v>112</v>
      </c>
      <c r="N272" s="85">
        <v>45939</v>
      </c>
      <c r="O272" s="86" t="s">
        <v>25</v>
      </c>
      <c r="P272" s="85" t="s">
        <v>20</v>
      </c>
      <c r="Q272" s="91">
        <v>852577025</v>
      </c>
      <c r="R272" s="87"/>
      <c r="S272" s="30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</row>
    <row r="273" spans="2:37" ht="16.2" x14ac:dyDescent="0.3">
      <c r="B273" s="80">
        <v>265</v>
      </c>
      <c r="C273" s="84" t="s">
        <v>300</v>
      </c>
      <c r="D273" s="82" t="s">
        <v>299</v>
      </c>
      <c r="E273" s="83">
        <v>6929</v>
      </c>
      <c r="F273" s="83" t="s">
        <v>28</v>
      </c>
      <c r="G273" s="83" t="s">
        <v>161</v>
      </c>
      <c r="H273" s="83" t="s">
        <v>14</v>
      </c>
      <c r="I273" s="83" t="s">
        <v>56</v>
      </c>
      <c r="J273" s="83">
        <v>50</v>
      </c>
      <c r="K273" s="84"/>
      <c r="L273" s="83" t="s">
        <v>12</v>
      </c>
      <c r="M273" s="83" t="s">
        <v>112</v>
      </c>
      <c r="N273" s="85">
        <v>45939</v>
      </c>
      <c r="O273" s="86" t="s">
        <v>25</v>
      </c>
      <c r="P273" s="85" t="s">
        <v>20</v>
      </c>
      <c r="Q273" s="91">
        <v>999376855</v>
      </c>
      <c r="R273" s="87"/>
      <c r="S273" s="30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</row>
    <row r="274" spans="2:37" ht="16.2" x14ac:dyDescent="0.3">
      <c r="B274" s="80">
        <v>266</v>
      </c>
      <c r="C274" s="84" t="s">
        <v>292</v>
      </c>
      <c r="D274" s="82" t="s">
        <v>291</v>
      </c>
      <c r="E274" s="83">
        <v>6930</v>
      </c>
      <c r="F274" s="83" t="s">
        <v>16</v>
      </c>
      <c r="G274" s="83" t="s">
        <v>164</v>
      </c>
      <c r="H274" s="83" t="s">
        <v>14</v>
      </c>
      <c r="I274" s="83" t="s">
        <v>19</v>
      </c>
      <c r="J274" s="83">
        <v>80</v>
      </c>
      <c r="K274" s="84"/>
      <c r="L274" s="83" t="s">
        <v>12</v>
      </c>
      <c r="M274" s="83" t="s">
        <v>112</v>
      </c>
      <c r="N274" s="85">
        <v>45939</v>
      </c>
      <c r="O274" s="86" t="s">
        <v>25</v>
      </c>
      <c r="P274" s="85" t="s">
        <v>20</v>
      </c>
      <c r="Q274" s="91">
        <v>977990005</v>
      </c>
      <c r="R274" s="87"/>
      <c r="S274" s="30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</row>
    <row r="275" spans="2:37" ht="16.2" x14ac:dyDescent="0.3">
      <c r="B275" s="80">
        <v>267</v>
      </c>
      <c r="C275" s="84" t="s">
        <v>298</v>
      </c>
      <c r="D275" s="82" t="s">
        <v>297</v>
      </c>
      <c r="E275" s="83">
        <v>6931</v>
      </c>
      <c r="F275" s="83" t="s">
        <v>28</v>
      </c>
      <c r="G275" s="83" t="s">
        <v>83</v>
      </c>
      <c r="H275" s="83" t="s">
        <v>14</v>
      </c>
      <c r="I275" s="83" t="s">
        <v>19</v>
      </c>
      <c r="J275" s="83">
        <v>40</v>
      </c>
      <c r="K275" s="84"/>
      <c r="L275" s="83" t="s">
        <v>12</v>
      </c>
      <c r="M275" s="83" t="s">
        <v>112</v>
      </c>
      <c r="N275" s="85">
        <v>45939</v>
      </c>
      <c r="O275" s="86" t="s">
        <v>10</v>
      </c>
      <c r="P275" s="85" t="s">
        <v>9</v>
      </c>
      <c r="Q275" s="91">
        <v>977767421</v>
      </c>
      <c r="R275" s="87"/>
      <c r="S275" s="30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</row>
    <row r="276" spans="2:37" ht="16.2" x14ac:dyDescent="0.3">
      <c r="B276" s="80">
        <v>268</v>
      </c>
      <c r="C276" s="84" t="s">
        <v>296</v>
      </c>
      <c r="D276" s="82" t="s">
        <v>295</v>
      </c>
      <c r="E276" s="83">
        <v>6932</v>
      </c>
      <c r="F276" s="83" t="s">
        <v>28</v>
      </c>
      <c r="G276" s="83" t="s">
        <v>22</v>
      </c>
      <c r="H276" s="83" t="s">
        <v>14</v>
      </c>
      <c r="I276" s="83" t="s">
        <v>19</v>
      </c>
      <c r="J276" s="83">
        <v>45</v>
      </c>
      <c r="K276" s="84"/>
      <c r="L276" s="83" t="s">
        <v>12</v>
      </c>
      <c r="M276" s="83" t="s">
        <v>112</v>
      </c>
      <c r="N276" s="85">
        <v>45939</v>
      </c>
      <c r="O276" s="86" t="s">
        <v>10</v>
      </c>
      <c r="P276" s="85" t="s">
        <v>20</v>
      </c>
      <c r="Q276" s="91">
        <v>851235759</v>
      </c>
      <c r="R276" s="87"/>
      <c r="S276" s="30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</row>
    <row r="277" spans="2:37" ht="16.2" x14ac:dyDescent="0.3">
      <c r="B277" s="80">
        <v>269</v>
      </c>
      <c r="C277" s="84" t="s">
        <v>294</v>
      </c>
      <c r="D277" s="82" t="s">
        <v>293</v>
      </c>
      <c r="E277" s="100">
        <v>6933</v>
      </c>
      <c r="F277" s="99" t="s">
        <v>16</v>
      </c>
      <c r="G277" s="84" t="s">
        <v>31</v>
      </c>
      <c r="H277" s="84" t="s">
        <v>14</v>
      </c>
      <c r="I277" s="83" t="s">
        <v>19</v>
      </c>
      <c r="J277" s="84">
        <v>35</v>
      </c>
      <c r="K277" s="84"/>
      <c r="L277" s="83" t="s">
        <v>12</v>
      </c>
      <c r="M277" s="99" t="s">
        <v>112</v>
      </c>
      <c r="N277" s="85">
        <v>45939</v>
      </c>
      <c r="O277" s="86" t="s">
        <v>25</v>
      </c>
      <c r="P277" s="85" t="s">
        <v>20</v>
      </c>
      <c r="Q277" s="91">
        <v>977990005</v>
      </c>
      <c r="R277" s="87"/>
      <c r="S277" s="30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</row>
    <row r="278" spans="2:37" ht="16.2" x14ac:dyDescent="0.3">
      <c r="B278" s="80">
        <v>270</v>
      </c>
      <c r="C278" s="84" t="s">
        <v>292</v>
      </c>
      <c r="D278" s="82" t="s">
        <v>291</v>
      </c>
      <c r="E278" s="83">
        <v>6934</v>
      </c>
      <c r="F278" s="83" t="s">
        <v>16</v>
      </c>
      <c r="G278" s="83" t="s">
        <v>164</v>
      </c>
      <c r="H278" s="83" t="s">
        <v>14</v>
      </c>
      <c r="I278" s="83" t="s">
        <v>281</v>
      </c>
      <c r="J278" s="83">
        <v>25</v>
      </c>
      <c r="K278" s="84"/>
      <c r="L278" s="83" t="s">
        <v>12</v>
      </c>
      <c r="M278" s="83" t="s">
        <v>112</v>
      </c>
      <c r="N278" s="85">
        <v>45939</v>
      </c>
      <c r="O278" s="86" t="s">
        <v>25</v>
      </c>
      <c r="P278" s="85" t="s">
        <v>20</v>
      </c>
      <c r="Q278" s="91">
        <v>977990005</v>
      </c>
      <c r="R278" s="87"/>
      <c r="S278" s="30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</row>
    <row r="279" spans="2:37" ht="16.2" x14ac:dyDescent="0.3">
      <c r="B279" s="80">
        <v>271</v>
      </c>
      <c r="C279" s="84" t="s">
        <v>290</v>
      </c>
      <c r="D279" s="82" t="s">
        <v>289</v>
      </c>
      <c r="E279" s="100">
        <v>6935</v>
      </c>
      <c r="F279" s="99" t="s">
        <v>16</v>
      </c>
      <c r="G279" s="84" t="s">
        <v>83</v>
      </c>
      <c r="H279" s="84" t="s">
        <v>14</v>
      </c>
      <c r="I279" s="83" t="s">
        <v>19</v>
      </c>
      <c r="J279" s="84">
        <v>40</v>
      </c>
      <c r="K279" s="84"/>
      <c r="L279" s="83" t="s">
        <v>26</v>
      </c>
      <c r="M279" s="99" t="s">
        <v>112</v>
      </c>
      <c r="N279" s="85">
        <v>45939</v>
      </c>
      <c r="O279" s="86" t="s">
        <v>10</v>
      </c>
      <c r="P279" s="85" t="s">
        <v>9</v>
      </c>
      <c r="Q279" s="91"/>
      <c r="R279" s="87"/>
      <c r="S279" s="30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</row>
    <row r="280" spans="2:37" ht="16.2" x14ac:dyDescent="0.3">
      <c r="B280" s="80">
        <v>272</v>
      </c>
      <c r="C280" s="81" t="s">
        <v>288</v>
      </c>
      <c r="D280" s="82" t="s">
        <v>287</v>
      </c>
      <c r="E280" s="83">
        <v>6938</v>
      </c>
      <c r="F280" s="83" t="s">
        <v>16</v>
      </c>
      <c r="G280" s="84" t="s">
        <v>77</v>
      </c>
      <c r="H280" s="83" t="s">
        <v>14</v>
      </c>
      <c r="I280" s="83" t="s">
        <v>19</v>
      </c>
      <c r="J280" s="83">
        <v>35</v>
      </c>
      <c r="K280" s="84"/>
      <c r="L280" s="83" t="s">
        <v>26</v>
      </c>
      <c r="M280" s="83" t="s">
        <v>112</v>
      </c>
      <c r="N280" s="85">
        <v>45939</v>
      </c>
      <c r="O280" s="86" t="s">
        <v>10</v>
      </c>
      <c r="P280" s="85" t="s">
        <v>0</v>
      </c>
      <c r="Q280" s="91" t="s">
        <v>286</v>
      </c>
      <c r="R280" s="87"/>
      <c r="S280" s="30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</row>
    <row r="281" spans="2:37" ht="16.2" customHeight="1" x14ac:dyDescent="0.3">
      <c r="B281" s="80">
        <v>273</v>
      </c>
      <c r="C281" s="81" t="s">
        <v>285</v>
      </c>
      <c r="D281" s="82" t="s">
        <v>284</v>
      </c>
      <c r="E281" s="83">
        <v>6939</v>
      </c>
      <c r="F281" s="83" t="s">
        <v>28</v>
      </c>
      <c r="G281" s="83" t="s">
        <v>97</v>
      </c>
      <c r="H281" s="83" t="s">
        <v>14</v>
      </c>
      <c r="I281" s="83" t="s">
        <v>19</v>
      </c>
      <c r="J281" s="83">
        <v>80</v>
      </c>
      <c r="K281" s="84"/>
      <c r="L281" s="83" t="s">
        <v>12</v>
      </c>
      <c r="M281" s="83" t="s">
        <v>112</v>
      </c>
      <c r="N281" s="85">
        <v>45939</v>
      </c>
      <c r="O281" s="86" t="s">
        <v>25</v>
      </c>
      <c r="P281" s="85" t="s">
        <v>20</v>
      </c>
      <c r="Q281" s="91">
        <v>997021698</v>
      </c>
      <c r="R281" s="87"/>
      <c r="S281" s="30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</row>
    <row r="282" spans="2:37" ht="16.2" x14ac:dyDescent="0.3">
      <c r="B282" s="80">
        <v>274</v>
      </c>
      <c r="C282" s="84" t="s">
        <v>283</v>
      </c>
      <c r="D282" s="82" t="s">
        <v>282</v>
      </c>
      <c r="E282" s="83">
        <v>6928</v>
      </c>
      <c r="F282" s="83" t="s">
        <v>28</v>
      </c>
      <c r="G282" s="83" t="s">
        <v>164</v>
      </c>
      <c r="H282" s="83" t="s">
        <v>14</v>
      </c>
      <c r="I282" s="83" t="s">
        <v>281</v>
      </c>
      <c r="J282" s="83">
        <v>60</v>
      </c>
      <c r="K282" s="84"/>
      <c r="L282" s="83" t="s">
        <v>26</v>
      </c>
      <c r="M282" s="83" t="s">
        <v>112</v>
      </c>
      <c r="N282" s="85">
        <v>45939</v>
      </c>
      <c r="O282" s="86" t="s">
        <v>25</v>
      </c>
      <c r="P282" s="85" t="s">
        <v>20</v>
      </c>
      <c r="Q282" s="91">
        <v>243999552497</v>
      </c>
      <c r="R282" s="87"/>
      <c r="S282" s="30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</row>
    <row r="283" spans="2:37" ht="16.2" x14ac:dyDescent="0.3">
      <c r="B283" s="80">
        <v>275</v>
      </c>
      <c r="C283" s="84" t="s">
        <v>280</v>
      </c>
      <c r="D283" s="82" t="s">
        <v>279</v>
      </c>
      <c r="E283" s="83">
        <v>6947</v>
      </c>
      <c r="F283" s="83" t="s">
        <v>28</v>
      </c>
      <c r="G283" s="83" t="s">
        <v>37</v>
      </c>
      <c r="H283" s="83" t="s">
        <v>14</v>
      </c>
      <c r="I283" s="83" t="s">
        <v>13</v>
      </c>
      <c r="J283" s="83">
        <v>45</v>
      </c>
      <c r="K283" s="84"/>
      <c r="L283" s="83" t="s">
        <v>26</v>
      </c>
      <c r="M283" s="83" t="s">
        <v>216</v>
      </c>
      <c r="N283" s="85">
        <v>45940</v>
      </c>
      <c r="O283" s="86" t="s">
        <v>10</v>
      </c>
      <c r="P283" s="85" t="s">
        <v>20</v>
      </c>
      <c r="Q283" s="91">
        <v>997663006</v>
      </c>
      <c r="R283" s="87"/>
      <c r="S283" s="30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</row>
    <row r="284" spans="2:37" ht="16.2" x14ac:dyDescent="0.3">
      <c r="B284" s="80">
        <v>276</v>
      </c>
      <c r="C284" s="84" t="s">
        <v>278</v>
      </c>
      <c r="D284" s="82" t="s">
        <v>277</v>
      </c>
      <c r="E284" s="83">
        <v>6948</v>
      </c>
      <c r="F284" s="83" t="s">
        <v>28</v>
      </c>
      <c r="G284" s="83" t="s">
        <v>80</v>
      </c>
      <c r="H284" s="83" t="s">
        <v>14</v>
      </c>
      <c r="I284" s="83" t="s">
        <v>19</v>
      </c>
      <c r="J284" s="83">
        <v>40</v>
      </c>
      <c r="K284" s="84"/>
      <c r="L284" s="83" t="s">
        <v>26</v>
      </c>
      <c r="M284" s="83" t="s">
        <v>88</v>
      </c>
      <c r="N284" s="85">
        <v>45940</v>
      </c>
      <c r="O284" s="86" t="s">
        <v>10</v>
      </c>
      <c r="P284" s="85" t="s">
        <v>9</v>
      </c>
      <c r="Q284" s="91" t="s">
        <v>276</v>
      </c>
      <c r="R284" s="87"/>
      <c r="S284" s="30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</row>
    <row r="285" spans="2:37" ht="16.2" x14ac:dyDescent="0.3">
      <c r="B285" s="80">
        <v>277</v>
      </c>
      <c r="C285" s="84" t="s">
        <v>275</v>
      </c>
      <c r="D285" s="82" t="s">
        <v>274</v>
      </c>
      <c r="E285" s="83">
        <v>6949</v>
      </c>
      <c r="F285" s="83" t="s">
        <v>16</v>
      </c>
      <c r="G285" s="83" t="s">
        <v>273</v>
      </c>
      <c r="H285" s="83" t="s">
        <v>14</v>
      </c>
      <c r="I285" s="83" t="s">
        <v>19</v>
      </c>
      <c r="J285" s="83">
        <v>45</v>
      </c>
      <c r="K285" s="84"/>
      <c r="L285" s="83" t="s">
        <v>12</v>
      </c>
      <c r="M285" s="83" t="s">
        <v>88</v>
      </c>
      <c r="N285" s="85">
        <v>45940</v>
      </c>
      <c r="O285" s="86" t="s">
        <v>10</v>
      </c>
      <c r="P285" s="85" t="s">
        <v>20</v>
      </c>
      <c r="Q285" s="91">
        <v>942922508</v>
      </c>
      <c r="R285" s="87"/>
      <c r="S285" s="30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</row>
    <row r="286" spans="2:37" ht="16.2" x14ac:dyDescent="0.3">
      <c r="B286" s="80">
        <v>278</v>
      </c>
      <c r="C286" s="84" t="s">
        <v>272</v>
      </c>
      <c r="D286" s="82" t="s">
        <v>271</v>
      </c>
      <c r="E286" s="83">
        <v>6945</v>
      </c>
      <c r="F286" s="83" t="s">
        <v>16</v>
      </c>
      <c r="G286" s="83" t="s">
        <v>100</v>
      </c>
      <c r="H286" s="83" t="s">
        <v>14</v>
      </c>
      <c r="I286" s="83" t="s">
        <v>13</v>
      </c>
      <c r="J286" s="83">
        <v>55</v>
      </c>
      <c r="K286" s="84"/>
      <c r="L286" s="83" t="s">
        <v>26</v>
      </c>
      <c r="M286" s="83" t="s">
        <v>88</v>
      </c>
      <c r="N286" s="85">
        <v>45940</v>
      </c>
      <c r="O286" s="86" t="s">
        <v>10</v>
      </c>
      <c r="P286" s="85" t="s">
        <v>20</v>
      </c>
      <c r="Q286" s="91">
        <v>997663006</v>
      </c>
      <c r="R286" s="87"/>
      <c r="S286" s="30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</row>
    <row r="287" spans="2:37" ht="16.2" x14ac:dyDescent="0.3">
      <c r="B287" s="80">
        <v>279</v>
      </c>
      <c r="C287" s="84" t="s">
        <v>270</v>
      </c>
      <c r="D287" s="82" t="s">
        <v>269</v>
      </c>
      <c r="E287" s="83">
        <v>6950</v>
      </c>
      <c r="F287" s="83" t="s">
        <v>16</v>
      </c>
      <c r="G287" s="83" t="s">
        <v>146</v>
      </c>
      <c r="H287" s="83" t="s">
        <v>14</v>
      </c>
      <c r="I287" s="83" t="s">
        <v>19</v>
      </c>
      <c r="J287" s="83">
        <v>55</v>
      </c>
      <c r="K287" s="84"/>
      <c r="L287" s="83" t="s">
        <v>12</v>
      </c>
      <c r="M287" s="83" t="s">
        <v>88</v>
      </c>
      <c r="N287" s="85">
        <v>45940</v>
      </c>
      <c r="O287" s="86" t="s">
        <v>10</v>
      </c>
      <c r="P287" s="85" t="s">
        <v>20</v>
      </c>
      <c r="Q287" s="91">
        <v>992922508</v>
      </c>
      <c r="R287" s="87"/>
      <c r="S287" s="30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</row>
    <row r="288" spans="2:37" ht="16.2" x14ac:dyDescent="0.3">
      <c r="B288" s="80">
        <v>280</v>
      </c>
      <c r="C288" s="84" t="s">
        <v>268</v>
      </c>
      <c r="D288" s="82" t="s">
        <v>267</v>
      </c>
      <c r="E288" s="100">
        <v>6951</v>
      </c>
      <c r="F288" s="99" t="s">
        <v>28</v>
      </c>
      <c r="G288" s="84" t="s">
        <v>80</v>
      </c>
      <c r="H288" s="84" t="s">
        <v>14</v>
      </c>
      <c r="I288" s="83" t="s">
        <v>13</v>
      </c>
      <c r="J288" s="84">
        <v>40</v>
      </c>
      <c r="K288" s="84"/>
      <c r="L288" s="83" t="s">
        <v>12</v>
      </c>
      <c r="M288" s="99" t="s">
        <v>88</v>
      </c>
      <c r="N288" s="85">
        <v>45940</v>
      </c>
      <c r="O288" s="86" t="s">
        <v>10</v>
      </c>
      <c r="P288" s="85" t="s">
        <v>9</v>
      </c>
      <c r="Q288" s="91">
        <v>850136358</v>
      </c>
      <c r="R288" s="87"/>
      <c r="S288" s="30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</row>
    <row r="289" spans="2:37" ht="16.2" x14ac:dyDescent="0.3">
      <c r="B289" s="80">
        <v>281</v>
      </c>
      <c r="C289" s="84" t="s">
        <v>266</v>
      </c>
      <c r="D289" s="82" t="s">
        <v>265</v>
      </c>
      <c r="E289" s="83">
        <v>6952</v>
      </c>
      <c r="F289" s="83" t="s">
        <v>16</v>
      </c>
      <c r="G289" s="83" t="s">
        <v>15</v>
      </c>
      <c r="H289" s="83" t="s">
        <v>14</v>
      </c>
      <c r="I289" s="83" t="s">
        <v>19</v>
      </c>
      <c r="J289" s="83">
        <v>40</v>
      </c>
      <c r="K289" s="84"/>
      <c r="L289" s="83" t="s">
        <v>12</v>
      </c>
      <c r="M289" s="83" t="s">
        <v>88</v>
      </c>
      <c r="N289" s="85">
        <v>45940</v>
      </c>
      <c r="O289" s="86" t="s">
        <v>10</v>
      </c>
      <c r="P289" s="85" t="s">
        <v>9</v>
      </c>
      <c r="Q289" s="87"/>
      <c r="R289" s="87"/>
      <c r="S289" s="30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</row>
    <row r="290" spans="2:37" ht="16.2" customHeight="1" x14ac:dyDescent="0.3">
      <c r="B290" s="80">
        <v>282</v>
      </c>
      <c r="C290" s="84" t="s">
        <v>264</v>
      </c>
      <c r="D290" s="82" t="s">
        <v>263</v>
      </c>
      <c r="E290" s="83">
        <v>6955</v>
      </c>
      <c r="F290" s="83" t="s">
        <v>16</v>
      </c>
      <c r="G290" s="83" t="s">
        <v>146</v>
      </c>
      <c r="H290" s="83" t="s">
        <v>14</v>
      </c>
      <c r="I290" s="83" t="s">
        <v>19</v>
      </c>
      <c r="J290" s="83">
        <v>55</v>
      </c>
      <c r="K290" s="84"/>
      <c r="L290" s="83" t="s">
        <v>12</v>
      </c>
      <c r="M290" s="83" t="s">
        <v>88</v>
      </c>
      <c r="N290" s="85">
        <v>45940</v>
      </c>
      <c r="O290" s="86" t="s">
        <v>10</v>
      </c>
      <c r="P290" s="85" t="s">
        <v>20</v>
      </c>
      <c r="Q290" s="91">
        <v>850921827</v>
      </c>
      <c r="R290" s="87"/>
      <c r="S290" s="30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</row>
    <row r="291" spans="2:37" ht="16.2" x14ac:dyDescent="0.3">
      <c r="B291" s="80">
        <v>283</v>
      </c>
      <c r="C291" s="84" t="s">
        <v>262</v>
      </c>
      <c r="D291" s="82" t="s">
        <v>261</v>
      </c>
      <c r="E291" s="83">
        <v>6957</v>
      </c>
      <c r="F291" s="83" t="s">
        <v>28</v>
      </c>
      <c r="G291" s="83" t="s">
        <v>37</v>
      </c>
      <c r="H291" s="83" t="s">
        <v>14</v>
      </c>
      <c r="I291" s="83" t="s">
        <v>19</v>
      </c>
      <c r="J291" s="83">
        <v>45</v>
      </c>
      <c r="K291" s="84"/>
      <c r="L291" s="83" t="s">
        <v>12</v>
      </c>
      <c r="M291" s="83" t="s">
        <v>88</v>
      </c>
      <c r="N291" s="85">
        <v>45940</v>
      </c>
      <c r="O291" s="86" t="s">
        <v>10</v>
      </c>
      <c r="P291" s="85" t="s">
        <v>20</v>
      </c>
      <c r="Q291" s="87" t="s">
        <v>260</v>
      </c>
      <c r="R291" s="87"/>
      <c r="S291" s="30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</row>
    <row r="292" spans="2:37" ht="16.2" x14ac:dyDescent="0.3">
      <c r="B292" s="80">
        <v>284</v>
      </c>
      <c r="C292" s="84" t="s">
        <v>259</v>
      </c>
      <c r="D292" s="82" t="s">
        <v>258</v>
      </c>
      <c r="E292" s="83">
        <v>6958</v>
      </c>
      <c r="F292" s="83" t="s">
        <v>28</v>
      </c>
      <c r="G292" s="83" t="s">
        <v>68</v>
      </c>
      <c r="H292" s="83" t="s">
        <v>14</v>
      </c>
      <c r="I292" s="83" t="s">
        <v>19</v>
      </c>
      <c r="J292" s="83">
        <v>55</v>
      </c>
      <c r="K292" s="84"/>
      <c r="L292" s="83" t="s">
        <v>12</v>
      </c>
      <c r="M292" s="83" t="s">
        <v>88</v>
      </c>
      <c r="N292" s="85">
        <v>45940</v>
      </c>
      <c r="O292" s="86" t="s">
        <v>10</v>
      </c>
      <c r="P292" s="85" t="s">
        <v>20</v>
      </c>
      <c r="Q292" s="91">
        <v>970466211</v>
      </c>
      <c r="R292" s="87"/>
      <c r="S292" s="30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</row>
    <row r="293" spans="2:37" ht="16.2" x14ac:dyDescent="0.3">
      <c r="B293" s="80">
        <v>285</v>
      </c>
      <c r="C293" s="84" t="s">
        <v>257</v>
      </c>
      <c r="D293" s="82" t="s">
        <v>256</v>
      </c>
      <c r="E293" s="83">
        <v>6960</v>
      </c>
      <c r="F293" s="83" t="s">
        <v>16</v>
      </c>
      <c r="G293" s="83" t="s">
        <v>83</v>
      </c>
      <c r="H293" s="83" t="s">
        <v>14</v>
      </c>
      <c r="I293" s="83" t="s">
        <v>19</v>
      </c>
      <c r="J293" s="83">
        <v>30</v>
      </c>
      <c r="K293" s="84"/>
      <c r="L293" s="83" t="s">
        <v>12</v>
      </c>
      <c r="M293" s="83" t="s">
        <v>88</v>
      </c>
      <c r="N293" s="85">
        <v>45940</v>
      </c>
      <c r="O293" s="86" t="s">
        <v>10</v>
      </c>
      <c r="P293" s="85" t="s">
        <v>9</v>
      </c>
      <c r="Q293" s="91">
        <v>972265553</v>
      </c>
      <c r="R293" s="87"/>
      <c r="S293" s="30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</row>
    <row r="294" spans="2:37" ht="16.2" x14ac:dyDescent="0.3">
      <c r="B294" s="80">
        <v>286</v>
      </c>
      <c r="C294" s="84" t="s">
        <v>255</v>
      </c>
      <c r="D294" s="82" t="s">
        <v>254</v>
      </c>
      <c r="E294" s="83">
        <v>6961</v>
      </c>
      <c r="F294" s="83" t="s">
        <v>16</v>
      </c>
      <c r="G294" s="83" t="s">
        <v>80</v>
      </c>
      <c r="H294" s="83" t="s">
        <v>14</v>
      </c>
      <c r="I294" s="83" t="s">
        <v>19</v>
      </c>
      <c r="J294" s="83">
        <v>30</v>
      </c>
      <c r="K294" s="84"/>
      <c r="L294" s="83" t="s">
        <v>12</v>
      </c>
      <c r="M294" s="83" t="s">
        <v>88</v>
      </c>
      <c r="N294" s="85">
        <v>45940</v>
      </c>
      <c r="O294" s="86" t="s">
        <v>10</v>
      </c>
      <c r="P294" s="85" t="s">
        <v>9</v>
      </c>
      <c r="Q294" s="91">
        <v>972265553</v>
      </c>
      <c r="R294" s="87"/>
      <c r="S294" s="30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</row>
    <row r="295" spans="2:37" ht="16.2" x14ac:dyDescent="0.3">
      <c r="B295" s="80">
        <v>287</v>
      </c>
      <c r="C295" s="84" t="s">
        <v>253</v>
      </c>
      <c r="D295" s="82" t="s">
        <v>252</v>
      </c>
      <c r="E295" s="83">
        <v>6962</v>
      </c>
      <c r="F295" s="83" t="s">
        <v>28</v>
      </c>
      <c r="G295" s="84" t="s">
        <v>27</v>
      </c>
      <c r="H295" s="83" t="s">
        <v>14</v>
      </c>
      <c r="I295" s="83" t="s">
        <v>19</v>
      </c>
      <c r="J295" s="83">
        <v>55</v>
      </c>
      <c r="K295" s="84"/>
      <c r="L295" s="83" t="s">
        <v>12</v>
      </c>
      <c r="M295" s="83" t="s">
        <v>88</v>
      </c>
      <c r="N295" s="85">
        <v>45940</v>
      </c>
      <c r="O295" s="86" t="s">
        <v>25</v>
      </c>
      <c r="P295" s="85" t="s">
        <v>20</v>
      </c>
      <c r="Q295" s="91">
        <v>971028140</v>
      </c>
      <c r="R295" s="87"/>
      <c r="S295" s="30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</row>
    <row r="296" spans="2:37" ht="16.2" x14ac:dyDescent="0.3">
      <c r="B296" s="80">
        <v>288</v>
      </c>
      <c r="C296" s="84" t="s">
        <v>251</v>
      </c>
      <c r="D296" s="82" t="s">
        <v>250</v>
      </c>
      <c r="E296" s="83">
        <v>6963</v>
      </c>
      <c r="F296" s="83" t="s">
        <v>16</v>
      </c>
      <c r="G296" s="83" t="s">
        <v>22</v>
      </c>
      <c r="H296" s="83" t="s">
        <v>14</v>
      </c>
      <c r="I296" s="83" t="s">
        <v>56</v>
      </c>
      <c r="J296" s="83">
        <v>28.07</v>
      </c>
      <c r="K296" s="84"/>
      <c r="L296" s="83" t="s">
        <v>26</v>
      </c>
      <c r="M296" s="83" t="s">
        <v>88</v>
      </c>
      <c r="N296" s="85">
        <v>45940</v>
      </c>
      <c r="O296" s="86" t="s">
        <v>10</v>
      </c>
      <c r="P296" s="85" t="s">
        <v>20</v>
      </c>
      <c r="Q296" s="91">
        <v>835708749</v>
      </c>
      <c r="R296" s="87"/>
      <c r="S296" s="30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</row>
    <row r="297" spans="2:37" ht="16.2" x14ac:dyDescent="0.3">
      <c r="B297" s="80">
        <v>289</v>
      </c>
      <c r="C297" s="84" t="s">
        <v>249</v>
      </c>
      <c r="D297" s="82" t="s">
        <v>248</v>
      </c>
      <c r="E297" s="83">
        <v>6964</v>
      </c>
      <c r="F297" s="83" t="s">
        <v>16</v>
      </c>
      <c r="G297" s="83" t="s">
        <v>97</v>
      </c>
      <c r="H297" s="83" t="s">
        <v>14</v>
      </c>
      <c r="I297" s="83" t="s">
        <v>19</v>
      </c>
      <c r="J297" s="83">
        <v>80</v>
      </c>
      <c r="K297" s="84"/>
      <c r="L297" s="83" t="s">
        <v>26</v>
      </c>
      <c r="M297" s="83" t="s">
        <v>88</v>
      </c>
      <c r="N297" s="85">
        <v>45940</v>
      </c>
      <c r="O297" s="86" t="s">
        <v>25</v>
      </c>
      <c r="P297" s="85" t="s">
        <v>20</v>
      </c>
      <c r="Q297" s="91">
        <v>993577111</v>
      </c>
      <c r="R297" s="87"/>
      <c r="S297" s="30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</row>
    <row r="298" spans="2:37" ht="16.2" x14ac:dyDescent="0.3">
      <c r="B298" s="80">
        <v>290</v>
      </c>
      <c r="C298" s="84" t="s">
        <v>247</v>
      </c>
      <c r="D298" s="82" t="s">
        <v>246</v>
      </c>
      <c r="E298" s="83">
        <v>6965</v>
      </c>
      <c r="F298" s="83"/>
      <c r="G298" s="83" t="s">
        <v>97</v>
      </c>
      <c r="H298" s="83" t="s">
        <v>14</v>
      </c>
      <c r="I298" s="83" t="s">
        <v>56</v>
      </c>
      <c r="J298" s="83">
        <v>78.94</v>
      </c>
      <c r="K298" s="84"/>
      <c r="L298" s="83" t="s">
        <v>26</v>
      </c>
      <c r="M298" s="83" t="s">
        <v>88</v>
      </c>
      <c r="N298" s="85">
        <v>45940</v>
      </c>
      <c r="O298" s="86" t="s">
        <v>25</v>
      </c>
      <c r="P298" s="85" t="s">
        <v>20</v>
      </c>
      <c r="Q298" s="91">
        <v>903931601</v>
      </c>
      <c r="R298" s="87"/>
      <c r="S298" s="30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</row>
    <row r="299" spans="2:37" ht="16.2" x14ac:dyDescent="0.3">
      <c r="B299" s="80">
        <v>291</v>
      </c>
      <c r="C299" s="83" t="s">
        <v>245</v>
      </c>
      <c r="D299" s="82" t="s">
        <v>244</v>
      </c>
      <c r="E299" s="83">
        <v>6966</v>
      </c>
      <c r="F299" s="83" t="s">
        <v>28</v>
      </c>
      <c r="G299" s="83" t="s">
        <v>100</v>
      </c>
      <c r="H299" s="83" t="s">
        <v>14</v>
      </c>
      <c r="I299" s="83" t="s">
        <v>19</v>
      </c>
      <c r="J299" s="83">
        <v>55</v>
      </c>
      <c r="K299" s="84"/>
      <c r="L299" s="83" t="s">
        <v>26</v>
      </c>
      <c r="M299" s="83" t="s">
        <v>88</v>
      </c>
      <c r="N299" s="85">
        <v>45940</v>
      </c>
      <c r="O299" s="86" t="s">
        <v>10</v>
      </c>
      <c r="P299" s="85" t="s">
        <v>20</v>
      </c>
      <c r="Q299" s="91">
        <v>818152974</v>
      </c>
      <c r="R299" s="87"/>
      <c r="S299" s="30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</row>
    <row r="300" spans="2:37" ht="16.2" x14ac:dyDescent="0.3">
      <c r="B300" s="80">
        <v>292</v>
      </c>
      <c r="C300" s="84" t="s">
        <v>243</v>
      </c>
      <c r="D300" s="82" t="s">
        <v>242</v>
      </c>
      <c r="E300" s="83">
        <v>6967</v>
      </c>
      <c r="F300" s="83" t="s">
        <v>28</v>
      </c>
      <c r="G300" s="83" t="s">
        <v>106</v>
      </c>
      <c r="H300" s="83" t="s">
        <v>14</v>
      </c>
      <c r="I300" s="83" t="s">
        <v>19</v>
      </c>
      <c r="J300" s="83">
        <v>80</v>
      </c>
      <c r="K300" s="84"/>
      <c r="L300" s="83" t="s">
        <v>26</v>
      </c>
      <c r="M300" s="83" t="s">
        <v>88</v>
      </c>
      <c r="N300" s="85">
        <v>45940</v>
      </c>
      <c r="O300" s="86" t="s">
        <v>25</v>
      </c>
      <c r="P300" s="85" t="s">
        <v>20</v>
      </c>
      <c r="Q300" s="91">
        <v>995220630</v>
      </c>
      <c r="R300" s="87"/>
      <c r="S300" s="30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</row>
    <row r="301" spans="2:37" ht="16.2" x14ac:dyDescent="0.3">
      <c r="B301" s="80">
        <v>293</v>
      </c>
      <c r="C301" s="84" t="s">
        <v>241</v>
      </c>
      <c r="D301" s="82" t="s">
        <v>240</v>
      </c>
      <c r="E301" s="83">
        <v>6968</v>
      </c>
      <c r="F301" s="83" t="s">
        <v>28</v>
      </c>
      <c r="G301" s="83" t="s">
        <v>106</v>
      </c>
      <c r="H301" s="83" t="s">
        <v>14</v>
      </c>
      <c r="I301" s="83" t="s">
        <v>56</v>
      </c>
      <c r="J301" s="83">
        <v>63.5</v>
      </c>
      <c r="K301" s="84"/>
      <c r="L301" s="83" t="s">
        <v>12</v>
      </c>
      <c r="M301" s="83" t="s">
        <v>88</v>
      </c>
      <c r="N301" s="85">
        <v>45940</v>
      </c>
      <c r="O301" s="86" t="s">
        <v>25</v>
      </c>
      <c r="P301" s="85" t="s">
        <v>20</v>
      </c>
      <c r="Q301" s="91">
        <v>979081780</v>
      </c>
      <c r="R301" s="87"/>
      <c r="S301" s="30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</row>
    <row r="302" spans="2:37" ht="16.2" x14ac:dyDescent="0.3">
      <c r="B302" s="80">
        <v>294</v>
      </c>
      <c r="C302" s="84" t="s">
        <v>239</v>
      </c>
      <c r="D302" s="82" t="s">
        <v>238</v>
      </c>
      <c r="E302" s="83">
        <v>6969</v>
      </c>
      <c r="F302" s="83" t="s">
        <v>28</v>
      </c>
      <c r="G302" s="83" t="s">
        <v>237</v>
      </c>
      <c r="H302" s="83" t="s">
        <v>14</v>
      </c>
      <c r="I302" s="83" t="s">
        <v>19</v>
      </c>
      <c r="J302" s="83">
        <v>55</v>
      </c>
      <c r="K302" s="84"/>
      <c r="L302" s="83" t="s">
        <v>12</v>
      </c>
      <c r="M302" s="83" t="s">
        <v>88</v>
      </c>
      <c r="N302" s="85">
        <v>45940</v>
      </c>
      <c r="O302" s="86" t="s">
        <v>10</v>
      </c>
      <c r="P302" s="85" t="s">
        <v>20</v>
      </c>
      <c r="Q302" s="91">
        <v>995331532</v>
      </c>
      <c r="R302" s="87"/>
      <c r="S302" s="30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</row>
    <row r="303" spans="2:37" ht="16.2" x14ac:dyDescent="0.3">
      <c r="B303" s="80">
        <v>295</v>
      </c>
      <c r="C303" s="84" t="s">
        <v>236</v>
      </c>
      <c r="D303" s="82" t="s">
        <v>235</v>
      </c>
      <c r="E303" s="83">
        <v>6970</v>
      </c>
      <c r="F303" s="83" t="s">
        <v>16</v>
      </c>
      <c r="G303" s="83" t="s">
        <v>37</v>
      </c>
      <c r="H303" s="83" t="s">
        <v>14</v>
      </c>
      <c r="I303" s="83" t="s">
        <v>19</v>
      </c>
      <c r="J303" s="83">
        <v>45</v>
      </c>
      <c r="K303" s="84"/>
      <c r="L303" s="83" t="s">
        <v>12</v>
      </c>
      <c r="M303" s="83" t="s">
        <v>88</v>
      </c>
      <c r="N303" s="85">
        <v>45940</v>
      </c>
      <c r="O303" s="86" t="s">
        <v>10</v>
      </c>
      <c r="P303" s="85" t="s">
        <v>20</v>
      </c>
      <c r="Q303" s="91">
        <v>995331532</v>
      </c>
      <c r="R303" s="87"/>
      <c r="S303" s="30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</row>
    <row r="304" spans="2:37" ht="16.2" x14ac:dyDescent="0.3">
      <c r="B304" s="80">
        <v>296</v>
      </c>
      <c r="C304" s="84" t="s">
        <v>234</v>
      </c>
      <c r="D304" s="82" t="s">
        <v>233</v>
      </c>
      <c r="E304" s="83">
        <v>6971</v>
      </c>
      <c r="F304" s="83" t="s">
        <v>16</v>
      </c>
      <c r="G304" s="83" t="s">
        <v>83</v>
      </c>
      <c r="H304" s="83" t="s">
        <v>14</v>
      </c>
      <c r="I304" s="83" t="s">
        <v>19</v>
      </c>
      <c r="J304" s="83">
        <v>40</v>
      </c>
      <c r="K304" s="84"/>
      <c r="L304" s="83" t="s">
        <v>12</v>
      </c>
      <c r="M304" s="83" t="s">
        <v>88</v>
      </c>
      <c r="N304" s="85">
        <v>45940</v>
      </c>
      <c r="O304" s="86" t="s">
        <v>10</v>
      </c>
      <c r="P304" s="85" t="s">
        <v>9</v>
      </c>
      <c r="Q304" s="91">
        <v>995331532</v>
      </c>
      <c r="R304" s="87"/>
      <c r="S304" s="30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</row>
    <row r="305" spans="2:37" ht="16.2" x14ac:dyDescent="0.3">
      <c r="B305" s="80">
        <v>297</v>
      </c>
      <c r="C305" s="84" t="s">
        <v>232</v>
      </c>
      <c r="D305" s="82" t="s">
        <v>231</v>
      </c>
      <c r="E305" s="100">
        <v>6972</v>
      </c>
      <c r="F305" s="99" t="s">
        <v>28</v>
      </c>
      <c r="G305" s="84" t="s">
        <v>15</v>
      </c>
      <c r="H305" s="84" t="s">
        <v>14</v>
      </c>
      <c r="I305" s="83" t="s">
        <v>19</v>
      </c>
      <c r="J305" s="84">
        <v>40</v>
      </c>
      <c r="K305" s="84"/>
      <c r="L305" s="83" t="s">
        <v>12</v>
      </c>
      <c r="M305" s="99" t="s">
        <v>88</v>
      </c>
      <c r="N305" s="85">
        <v>45940</v>
      </c>
      <c r="O305" s="86" t="s">
        <v>10</v>
      </c>
      <c r="P305" s="85" t="s">
        <v>9</v>
      </c>
      <c r="Q305" s="91">
        <v>995331532</v>
      </c>
      <c r="R305" s="87"/>
      <c r="S305" s="30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</row>
    <row r="306" spans="2:37" ht="16.2" x14ac:dyDescent="0.3">
      <c r="B306" s="80">
        <v>298</v>
      </c>
      <c r="C306" s="84" t="s">
        <v>230</v>
      </c>
      <c r="D306" s="82" t="s">
        <v>229</v>
      </c>
      <c r="E306" s="83">
        <v>6973</v>
      </c>
      <c r="F306" s="83" t="s">
        <v>28</v>
      </c>
      <c r="G306" s="83" t="s">
        <v>57</v>
      </c>
      <c r="H306" s="83" t="s">
        <v>14</v>
      </c>
      <c r="I306" s="83" t="s">
        <v>19</v>
      </c>
      <c r="J306" s="83">
        <v>45</v>
      </c>
      <c r="K306" s="84"/>
      <c r="L306" s="83" t="s">
        <v>12</v>
      </c>
      <c r="M306" s="83" t="s">
        <v>88</v>
      </c>
      <c r="N306" s="85">
        <v>45940</v>
      </c>
      <c r="O306" s="86" t="s">
        <v>10</v>
      </c>
      <c r="P306" s="85" t="s">
        <v>20</v>
      </c>
      <c r="Q306" s="91">
        <v>994014409</v>
      </c>
      <c r="R306" s="87"/>
      <c r="S306" s="30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</row>
    <row r="307" spans="2:37" ht="16.2" x14ac:dyDescent="0.3">
      <c r="B307" s="80">
        <v>299</v>
      </c>
      <c r="C307" s="84" t="s">
        <v>228</v>
      </c>
      <c r="D307" s="82" t="s">
        <v>227</v>
      </c>
      <c r="E307" s="83">
        <v>6974</v>
      </c>
      <c r="F307" s="83" t="s">
        <v>28</v>
      </c>
      <c r="G307" s="83" t="s">
        <v>130</v>
      </c>
      <c r="H307" s="83" t="s">
        <v>14</v>
      </c>
      <c r="I307" s="83" t="s">
        <v>19</v>
      </c>
      <c r="J307" s="83">
        <v>55</v>
      </c>
      <c r="K307" s="84"/>
      <c r="L307" s="83" t="s">
        <v>26</v>
      </c>
      <c r="M307" s="83" t="s">
        <v>88</v>
      </c>
      <c r="N307" s="85">
        <v>45940</v>
      </c>
      <c r="O307" s="86" t="s">
        <v>10</v>
      </c>
      <c r="P307" s="85" t="s">
        <v>20</v>
      </c>
      <c r="Q307" s="91">
        <v>994014409</v>
      </c>
      <c r="R307" s="87"/>
      <c r="S307" s="30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</row>
    <row r="308" spans="2:37" ht="16.2" x14ac:dyDescent="0.3">
      <c r="B308" s="80">
        <v>300</v>
      </c>
      <c r="C308" s="84" t="s">
        <v>226</v>
      </c>
      <c r="D308" s="82" t="s">
        <v>225</v>
      </c>
      <c r="E308" s="83">
        <v>6975</v>
      </c>
      <c r="F308" s="83" t="s">
        <v>28</v>
      </c>
      <c r="G308" s="84" t="s">
        <v>150</v>
      </c>
      <c r="H308" s="83" t="s">
        <v>14</v>
      </c>
      <c r="I308" s="83" t="s">
        <v>19</v>
      </c>
      <c r="J308" s="83">
        <v>50</v>
      </c>
      <c r="K308" s="84"/>
      <c r="L308" s="83" t="s">
        <v>12</v>
      </c>
      <c r="M308" s="83" t="s">
        <v>88</v>
      </c>
      <c r="N308" s="85">
        <v>45940</v>
      </c>
      <c r="O308" s="86" t="s">
        <v>10</v>
      </c>
      <c r="P308" s="85" t="s">
        <v>20</v>
      </c>
      <c r="Q308" s="87"/>
      <c r="R308" s="87"/>
      <c r="S308" s="30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</row>
    <row r="309" spans="2:37" ht="16.2" x14ac:dyDescent="0.3">
      <c r="B309" s="80">
        <v>301</v>
      </c>
      <c r="C309" s="84" t="s">
        <v>224</v>
      </c>
      <c r="D309" s="82" t="s">
        <v>223</v>
      </c>
      <c r="E309" s="83">
        <v>6976</v>
      </c>
      <c r="F309" s="83" t="s">
        <v>16</v>
      </c>
      <c r="G309" s="83" t="s">
        <v>174</v>
      </c>
      <c r="H309" s="83" t="s">
        <v>14</v>
      </c>
      <c r="I309" s="83" t="s">
        <v>19</v>
      </c>
      <c r="J309" s="83">
        <v>50</v>
      </c>
      <c r="K309" s="84"/>
      <c r="L309" s="83" t="s">
        <v>12</v>
      </c>
      <c r="M309" s="83" t="s">
        <v>216</v>
      </c>
      <c r="N309" s="85">
        <v>45941</v>
      </c>
      <c r="O309" s="86" t="s">
        <v>25</v>
      </c>
      <c r="P309" s="85" t="s">
        <v>20</v>
      </c>
      <c r="Q309" s="91">
        <v>997016421</v>
      </c>
      <c r="R309" s="87"/>
      <c r="S309" s="30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</row>
    <row r="310" spans="2:37" ht="16.2" x14ac:dyDescent="0.3">
      <c r="B310" s="80">
        <v>302</v>
      </c>
      <c r="C310" s="84" t="s">
        <v>222</v>
      </c>
      <c r="D310" s="82" t="s">
        <v>221</v>
      </c>
      <c r="E310" s="83">
        <v>6977</v>
      </c>
      <c r="F310" s="83" t="s">
        <v>28</v>
      </c>
      <c r="G310" s="83" t="s">
        <v>150</v>
      </c>
      <c r="H310" s="83" t="s">
        <v>14</v>
      </c>
      <c r="I310" s="83" t="s">
        <v>19</v>
      </c>
      <c r="J310" s="83">
        <v>45</v>
      </c>
      <c r="K310" s="84"/>
      <c r="L310" s="83" t="s">
        <v>26</v>
      </c>
      <c r="M310" s="83" t="s">
        <v>216</v>
      </c>
      <c r="N310" s="85">
        <v>45941</v>
      </c>
      <c r="O310" s="86" t="s">
        <v>10</v>
      </c>
      <c r="P310" s="85" t="s">
        <v>20</v>
      </c>
      <c r="Q310" s="91">
        <v>976848191</v>
      </c>
      <c r="R310" s="87"/>
      <c r="S310" s="30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</row>
    <row r="311" spans="2:37" ht="16.2" x14ac:dyDescent="0.3">
      <c r="B311" s="80">
        <v>303</v>
      </c>
      <c r="C311" s="84" t="s">
        <v>222</v>
      </c>
      <c r="D311" s="82" t="s">
        <v>221</v>
      </c>
      <c r="E311" s="83">
        <v>6978</v>
      </c>
      <c r="F311" s="83" t="s">
        <v>28</v>
      </c>
      <c r="G311" s="83" t="s">
        <v>150</v>
      </c>
      <c r="H311" s="83" t="s">
        <v>14</v>
      </c>
      <c r="I311" s="83" t="s">
        <v>13</v>
      </c>
      <c r="J311" s="83">
        <v>45</v>
      </c>
      <c r="K311" s="84"/>
      <c r="L311" s="83" t="s">
        <v>26</v>
      </c>
      <c r="M311" s="83" t="s">
        <v>216</v>
      </c>
      <c r="N311" s="85">
        <v>45941</v>
      </c>
      <c r="O311" s="86" t="s">
        <v>10</v>
      </c>
      <c r="P311" s="85" t="s">
        <v>20</v>
      </c>
      <c r="Q311" s="91">
        <v>976848191</v>
      </c>
      <c r="R311" s="87"/>
      <c r="S311" s="30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</row>
    <row r="312" spans="2:37" ht="16.2" x14ac:dyDescent="0.3">
      <c r="B312" s="80">
        <v>304</v>
      </c>
      <c r="C312" s="84" t="s">
        <v>220</v>
      </c>
      <c r="D312" s="82" t="s">
        <v>219</v>
      </c>
      <c r="E312" s="83">
        <v>6979</v>
      </c>
      <c r="F312" s="83" t="s">
        <v>28</v>
      </c>
      <c r="G312" s="83" t="s">
        <v>77</v>
      </c>
      <c r="H312" s="83" t="s">
        <v>14</v>
      </c>
      <c r="I312" s="83" t="s">
        <v>19</v>
      </c>
      <c r="J312" s="83">
        <v>40</v>
      </c>
      <c r="K312" s="84"/>
      <c r="L312" s="83" t="s">
        <v>12</v>
      </c>
      <c r="M312" s="83" t="s">
        <v>216</v>
      </c>
      <c r="N312" s="85">
        <v>45941</v>
      </c>
      <c r="O312" s="86" t="s">
        <v>10</v>
      </c>
      <c r="P312" s="85" t="s">
        <v>0</v>
      </c>
      <c r="Q312" s="91"/>
      <c r="R312" s="87"/>
      <c r="S312" s="30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</row>
    <row r="313" spans="2:37" ht="16.2" x14ac:dyDescent="0.3">
      <c r="B313" s="80">
        <v>305</v>
      </c>
      <c r="C313" s="84" t="s">
        <v>218</v>
      </c>
      <c r="D313" s="82" t="s">
        <v>217</v>
      </c>
      <c r="E313" s="83">
        <v>6946</v>
      </c>
      <c r="F313" s="83" t="s">
        <v>28</v>
      </c>
      <c r="G313" s="83" t="s">
        <v>113</v>
      </c>
      <c r="H313" s="83" t="s">
        <v>14</v>
      </c>
      <c r="I313" s="83" t="s">
        <v>13</v>
      </c>
      <c r="J313" s="83">
        <v>45</v>
      </c>
      <c r="K313" s="84"/>
      <c r="L313" s="83" t="s">
        <v>26</v>
      </c>
      <c r="M313" s="83" t="s">
        <v>216</v>
      </c>
      <c r="N313" s="85">
        <v>45940</v>
      </c>
      <c r="O313" s="86" t="s">
        <v>10</v>
      </c>
      <c r="P313" s="85" t="s">
        <v>20</v>
      </c>
      <c r="Q313" s="91">
        <v>997663006</v>
      </c>
      <c r="R313" s="87"/>
      <c r="S313" s="30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</row>
    <row r="314" spans="2:37" ht="16.2" x14ac:dyDescent="0.3">
      <c r="B314" s="80">
        <v>306</v>
      </c>
      <c r="C314" s="84" t="s">
        <v>215</v>
      </c>
      <c r="D314" s="82" t="s">
        <v>214</v>
      </c>
      <c r="E314" s="83">
        <v>6980</v>
      </c>
      <c r="F314" s="83" t="s">
        <v>28</v>
      </c>
      <c r="G314" s="83" t="s">
        <v>201</v>
      </c>
      <c r="H314" s="83" t="s">
        <v>14</v>
      </c>
      <c r="I314" s="83" t="s">
        <v>19</v>
      </c>
      <c r="J314" s="83">
        <v>40</v>
      </c>
      <c r="K314" s="84"/>
      <c r="L314" s="83" t="s">
        <v>26</v>
      </c>
      <c r="M314" s="83" t="s">
        <v>60</v>
      </c>
      <c r="N314" s="85">
        <v>45943</v>
      </c>
      <c r="O314" s="86" t="s">
        <v>10</v>
      </c>
      <c r="P314" s="85" t="s">
        <v>9</v>
      </c>
      <c r="Q314" s="91">
        <v>977952145</v>
      </c>
      <c r="R314" s="87"/>
      <c r="S314" s="30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</row>
    <row r="315" spans="2:37" ht="16.2" x14ac:dyDescent="0.3">
      <c r="B315" s="80">
        <v>307</v>
      </c>
      <c r="C315" s="84" t="s">
        <v>213</v>
      </c>
      <c r="D315" s="82" t="s">
        <v>212</v>
      </c>
      <c r="E315" s="83">
        <v>6981</v>
      </c>
      <c r="F315" s="83" t="s">
        <v>28</v>
      </c>
      <c r="G315" s="84" t="s">
        <v>80</v>
      </c>
      <c r="H315" s="83" t="s">
        <v>14</v>
      </c>
      <c r="I315" s="83" t="s">
        <v>19</v>
      </c>
      <c r="J315" s="83">
        <v>40</v>
      </c>
      <c r="K315" s="84"/>
      <c r="L315" s="83" t="s">
        <v>26</v>
      </c>
      <c r="M315" s="83" t="s">
        <v>60</v>
      </c>
      <c r="N315" s="85">
        <v>45943</v>
      </c>
      <c r="O315" s="86" t="s">
        <v>10</v>
      </c>
      <c r="P315" s="85" t="s">
        <v>9</v>
      </c>
      <c r="Q315" s="91">
        <v>977952145</v>
      </c>
      <c r="R315" s="87"/>
      <c r="S315" s="30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</row>
    <row r="316" spans="2:37" ht="16.2" x14ac:dyDescent="0.3">
      <c r="B316" s="80">
        <v>308</v>
      </c>
      <c r="C316" s="84" t="s">
        <v>211</v>
      </c>
      <c r="D316" s="82" t="s">
        <v>210</v>
      </c>
      <c r="E316" s="83">
        <v>6983</v>
      </c>
      <c r="F316" s="83" t="s">
        <v>28</v>
      </c>
      <c r="G316" s="83" t="s">
        <v>97</v>
      </c>
      <c r="H316" s="83" t="s">
        <v>14</v>
      </c>
      <c r="I316" s="83" t="s">
        <v>19</v>
      </c>
      <c r="J316" s="83">
        <v>80</v>
      </c>
      <c r="K316" s="84"/>
      <c r="L316" s="83" t="s">
        <v>26</v>
      </c>
      <c r="M316" s="83" t="s">
        <v>60</v>
      </c>
      <c r="N316" s="85">
        <v>45943</v>
      </c>
      <c r="O316" s="86" t="s">
        <v>25</v>
      </c>
      <c r="P316" s="85" t="s">
        <v>20</v>
      </c>
      <c r="Q316" s="91">
        <v>995552155</v>
      </c>
      <c r="R316" s="87"/>
      <c r="S316" s="30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</row>
    <row r="317" spans="2:37" ht="16.2" x14ac:dyDescent="0.3">
      <c r="B317" s="80">
        <v>309</v>
      </c>
      <c r="C317" s="84" t="s">
        <v>209</v>
      </c>
      <c r="D317" s="82" t="s">
        <v>208</v>
      </c>
      <c r="E317" s="83">
        <v>7506</v>
      </c>
      <c r="F317" s="83" t="s">
        <v>16</v>
      </c>
      <c r="G317" s="83" t="s">
        <v>174</v>
      </c>
      <c r="H317" s="83" t="s">
        <v>14</v>
      </c>
      <c r="I317" s="83" t="s">
        <v>19</v>
      </c>
      <c r="J317" s="83">
        <v>80</v>
      </c>
      <c r="K317" s="84"/>
      <c r="L317" s="83" t="s">
        <v>12</v>
      </c>
      <c r="M317" s="83" t="s">
        <v>60</v>
      </c>
      <c r="N317" s="85">
        <v>45943</v>
      </c>
      <c r="O317" s="86" t="s">
        <v>25</v>
      </c>
      <c r="P317" s="85" t="s">
        <v>20</v>
      </c>
      <c r="Q317" s="91">
        <v>855770792</v>
      </c>
      <c r="R317" s="87"/>
      <c r="S317" s="30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</row>
    <row r="318" spans="2:37" ht="16.2" x14ac:dyDescent="0.3">
      <c r="B318" s="80">
        <v>310</v>
      </c>
      <c r="C318" s="84" t="s">
        <v>105</v>
      </c>
      <c r="D318" s="82" t="s">
        <v>104</v>
      </c>
      <c r="E318" s="83">
        <v>6982</v>
      </c>
      <c r="F318" s="83" t="s">
        <v>28</v>
      </c>
      <c r="G318" s="83" t="s">
        <v>100</v>
      </c>
      <c r="H318" s="83" t="s">
        <v>14</v>
      </c>
      <c r="I318" s="83" t="s">
        <v>56</v>
      </c>
      <c r="J318" s="83">
        <v>50</v>
      </c>
      <c r="K318" s="84"/>
      <c r="L318" s="83" t="s">
        <v>26</v>
      </c>
      <c r="M318" s="83" t="s">
        <v>60</v>
      </c>
      <c r="N318" s="85">
        <v>45943</v>
      </c>
      <c r="O318" s="86" t="s">
        <v>10</v>
      </c>
      <c r="P318" s="85" t="s">
        <v>20</v>
      </c>
      <c r="Q318" s="91">
        <v>995552155</v>
      </c>
      <c r="R318" s="87"/>
      <c r="S318" s="30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</row>
    <row r="319" spans="2:37" ht="16.2" x14ac:dyDescent="0.3">
      <c r="B319" s="80">
        <v>311</v>
      </c>
      <c r="C319" s="84" t="s">
        <v>207</v>
      </c>
      <c r="D319" s="82" t="s">
        <v>206</v>
      </c>
      <c r="E319" s="83">
        <v>6984</v>
      </c>
      <c r="F319" s="83" t="s">
        <v>16</v>
      </c>
      <c r="G319" s="84" t="s">
        <v>201</v>
      </c>
      <c r="H319" s="83" t="s">
        <v>14</v>
      </c>
      <c r="I319" s="83" t="s">
        <v>19</v>
      </c>
      <c r="J319" s="83">
        <v>40</v>
      </c>
      <c r="K319" s="84"/>
      <c r="L319" s="83" t="s">
        <v>12</v>
      </c>
      <c r="M319" s="83" t="s">
        <v>60</v>
      </c>
      <c r="N319" s="85">
        <v>45943</v>
      </c>
      <c r="O319" s="86" t="s">
        <v>10</v>
      </c>
      <c r="P319" s="85" t="s">
        <v>9</v>
      </c>
      <c r="Q319" s="91">
        <v>821093915</v>
      </c>
      <c r="R319" s="87"/>
      <c r="S319" s="30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</row>
    <row r="320" spans="2:37" ht="16.2" x14ac:dyDescent="0.3">
      <c r="B320" s="80">
        <v>312</v>
      </c>
      <c r="C320" s="84" t="s">
        <v>205</v>
      </c>
      <c r="D320" s="82" t="s">
        <v>204</v>
      </c>
      <c r="E320" s="83">
        <v>6985</v>
      </c>
      <c r="F320" s="83" t="s">
        <v>16</v>
      </c>
      <c r="G320" s="84" t="s">
        <v>77</v>
      </c>
      <c r="H320" s="83" t="s">
        <v>14</v>
      </c>
      <c r="I320" s="83" t="s">
        <v>19</v>
      </c>
      <c r="J320" s="83">
        <v>40</v>
      </c>
      <c r="K320" s="84"/>
      <c r="L320" s="83" t="s">
        <v>26</v>
      </c>
      <c r="M320" s="83" t="s">
        <v>60</v>
      </c>
      <c r="N320" s="85">
        <v>45943</v>
      </c>
      <c r="O320" s="86" t="s">
        <v>10</v>
      </c>
      <c r="P320" s="85" t="s">
        <v>0</v>
      </c>
      <c r="Q320" s="91">
        <v>814533261</v>
      </c>
      <c r="R320" s="87"/>
      <c r="S320" s="30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</row>
    <row r="321" spans="2:37" ht="16.2" x14ac:dyDescent="0.3">
      <c r="B321" s="80">
        <v>313</v>
      </c>
      <c r="C321" s="84" t="s">
        <v>203</v>
      </c>
      <c r="D321" s="82" t="s">
        <v>202</v>
      </c>
      <c r="E321" s="83">
        <v>6988</v>
      </c>
      <c r="F321" s="83" t="s">
        <v>16</v>
      </c>
      <c r="G321" s="83" t="s">
        <v>201</v>
      </c>
      <c r="H321" s="83" t="s">
        <v>14</v>
      </c>
      <c r="I321" s="83" t="s">
        <v>19</v>
      </c>
      <c r="J321" s="83">
        <v>30</v>
      </c>
      <c r="K321" s="84"/>
      <c r="L321" s="83" t="s">
        <v>12</v>
      </c>
      <c r="M321" s="83" t="s">
        <v>60</v>
      </c>
      <c r="N321" s="85">
        <v>45943</v>
      </c>
      <c r="O321" s="86" t="s">
        <v>10</v>
      </c>
      <c r="P321" s="85" t="s">
        <v>9</v>
      </c>
      <c r="Q321" s="91">
        <v>992112120</v>
      </c>
      <c r="R321" s="87"/>
      <c r="S321" s="30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</row>
    <row r="322" spans="2:37" ht="16.2" x14ac:dyDescent="0.3">
      <c r="B322" s="80">
        <v>314</v>
      </c>
      <c r="C322" s="84" t="s">
        <v>200</v>
      </c>
      <c r="D322" s="82" t="s">
        <v>199</v>
      </c>
      <c r="E322" s="83">
        <v>6986</v>
      </c>
      <c r="F322" s="83" t="s">
        <v>16</v>
      </c>
      <c r="G322" s="83" t="s">
        <v>80</v>
      </c>
      <c r="H322" s="83" t="s">
        <v>14</v>
      </c>
      <c r="I322" s="83" t="s">
        <v>19</v>
      </c>
      <c r="J322" s="83">
        <v>35</v>
      </c>
      <c r="K322" s="84"/>
      <c r="L322" s="83" t="s">
        <v>12</v>
      </c>
      <c r="M322" s="83" t="s">
        <v>60</v>
      </c>
      <c r="N322" s="85">
        <v>45943</v>
      </c>
      <c r="O322" s="86" t="s">
        <v>10</v>
      </c>
      <c r="P322" s="85" t="s">
        <v>9</v>
      </c>
      <c r="Q322" s="91">
        <v>992112120</v>
      </c>
      <c r="R322" s="87"/>
      <c r="S322" s="30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</row>
    <row r="323" spans="2:37" ht="16.2" x14ac:dyDescent="0.3">
      <c r="B323" s="80">
        <v>315</v>
      </c>
      <c r="C323" s="84" t="s">
        <v>198</v>
      </c>
      <c r="D323" s="82" t="s">
        <v>197</v>
      </c>
      <c r="E323" s="83">
        <v>6987</v>
      </c>
      <c r="F323" s="83" t="s">
        <v>16</v>
      </c>
      <c r="G323" s="83" t="s">
        <v>83</v>
      </c>
      <c r="H323" s="83" t="s">
        <v>14</v>
      </c>
      <c r="I323" s="83" t="s">
        <v>19</v>
      </c>
      <c r="J323" s="83">
        <v>35</v>
      </c>
      <c r="K323" s="84"/>
      <c r="L323" s="83" t="s">
        <v>26</v>
      </c>
      <c r="M323" s="83" t="s">
        <v>60</v>
      </c>
      <c r="N323" s="85">
        <v>45943</v>
      </c>
      <c r="O323" s="86" t="s">
        <v>10</v>
      </c>
      <c r="P323" s="85" t="s">
        <v>9</v>
      </c>
      <c r="Q323" s="87"/>
      <c r="R323" s="87"/>
      <c r="S323" s="30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</row>
    <row r="324" spans="2:37" ht="16.2" x14ac:dyDescent="0.3">
      <c r="B324" s="80">
        <v>316</v>
      </c>
      <c r="C324" s="84" t="s">
        <v>196</v>
      </c>
      <c r="D324" s="82" t="s">
        <v>195</v>
      </c>
      <c r="E324" s="83">
        <v>6990</v>
      </c>
      <c r="F324" s="83" t="s">
        <v>28</v>
      </c>
      <c r="G324" s="83" t="s">
        <v>124</v>
      </c>
      <c r="H324" s="83" t="s">
        <v>14</v>
      </c>
      <c r="I324" s="83" t="s">
        <v>19</v>
      </c>
      <c r="J324" s="83">
        <v>40</v>
      </c>
      <c r="K324" s="84"/>
      <c r="L324" s="83" t="s">
        <v>26</v>
      </c>
      <c r="M324" s="83" t="s">
        <v>60</v>
      </c>
      <c r="N324" s="85">
        <v>45943</v>
      </c>
      <c r="O324" s="86" t="s">
        <v>10</v>
      </c>
      <c r="P324" s="85" t="s">
        <v>20</v>
      </c>
      <c r="Q324" s="91">
        <v>826306153</v>
      </c>
      <c r="R324" s="87"/>
      <c r="S324" s="30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</row>
    <row r="325" spans="2:37" ht="16.2" x14ac:dyDescent="0.3">
      <c r="B325" s="80">
        <v>317</v>
      </c>
      <c r="C325" s="84" t="s">
        <v>194</v>
      </c>
      <c r="D325" s="82" t="s">
        <v>193</v>
      </c>
      <c r="E325" s="83">
        <v>7502</v>
      </c>
      <c r="F325" s="83" t="s">
        <v>28</v>
      </c>
      <c r="G325" s="83" t="s">
        <v>83</v>
      </c>
      <c r="H325" s="83" t="s">
        <v>14</v>
      </c>
      <c r="I325" s="83" t="s">
        <v>19</v>
      </c>
      <c r="J325" s="83">
        <v>40</v>
      </c>
      <c r="K325" s="84"/>
      <c r="L325" s="83" t="s">
        <v>26</v>
      </c>
      <c r="M325" s="83" t="s">
        <v>60</v>
      </c>
      <c r="N325" s="85">
        <v>45943</v>
      </c>
      <c r="O325" s="86" t="s">
        <v>10</v>
      </c>
      <c r="P325" s="85" t="s">
        <v>9</v>
      </c>
      <c r="Q325" s="91"/>
      <c r="R325" s="87"/>
      <c r="S325" s="30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</row>
    <row r="326" spans="2:37" ht="16.2" x14ac:dyDescent="0.3">
      <c r="B326" s="80">
        <v>318</v>
      </c>
      <c r="C326" s="84" t="s">
        <v>192</v>
      </c>
      <c r="D326" s="82" t="s">
        <v>191</v>
      </c>
      <c r="E326" s="83">
        <v>7503</v>
      </c>
      <c r="F326" s="83" t="s">
        <v>16</v>
      </c>
      <c r="G326" s="83" t="s">
        <v>40</v>
      </c>
      <c r="H326" s="83" t="s">
        <v>14</v>
      </c>
      <c r="I326" s="83" t="s">
        <v>19</v>
      </c>
      <c r="J326" s="83">
        <v>40</v>
      </c>
      <c r="K326" s="84"/>
      <c r="L326" s="83" t="s">
        <v>26</v>
      </c>
      <c r="M326" s="83" t="s">
        <v>60</v>
      </c>
      <c r="N326" s="85">
        <v>45943</v>
      </c>
      <c r="O326" s="86" t="s">
        <v>10</v>
      </c>
      <c r="P326" s="85" t="s">
        <v>0</v>
      </c>
      <c r="Q326" s="91">
        <v>990900600</v>
      </c>
      <c r="R326" s="87"/>
      <c r="S326" s="30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</row>
    <row r="327" spans="2:37" ht="16.2" x14ac:dyDescent="0.3">
      <c r="B327" s="80">
        <v>319</v>
      </c>
      <c r="C327" s="84" t="s">
        <v>190</v>
      </c>
      <c r="D327" s="82" t="s">
        <v>189</v>
      </c>
      <c r="E327" s="83">
        <v>7505</v>
      </c>
      <c r="F327" s="83" t="s">
        <v>28</v>
      </c>
      <c r="G327" s="84" t="s">
        <v>100</v>
      </c>
      <c r="H327" s="83" t="s">
        <v>14</v>
      </c>
      <c r="I327" s="83" t="s">
        <v>56</v>
      </c>
      <c r="J327" s="83">
        <v>53.84</v>
      </c>
      <c r="K327" s="84"/>
      <c r="L327" s="83" t="s">
        <v>12</v>
      </c>
      <c r="M327" s="83" t="s">
        <v>60</v>
      </c>
      <c r="N327" s="85">
        <v>45943</v>
      </c>
      <c r="O327" s="86" t="s">
        <v>10</v>
      </c>
      <c r="P327" s="85" t="s">
        <v>20</v>
      </c>
      <c r="Q327" s="91" t="s">
        <v>188</v>
      </c>
      <c r="R327" s="87"/>
      <c r="S327" s="30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</row>
    <row r="328" spans="2:37" ht="16.2" x14ac:dyDescent="0.3">
      <c r="B328" s="80">
        <v>320</v>
      </c>
      <c r="C328" s="84" t="s">
        <v>187</v>
      </c>
      <c r="D328" s="82" t="s">
        <v>186</v>
      </c>
      <c r="E328" s="83">
        <v>7507</v>
      </c>
      <c r="F328" s="83" t="s">
        <v>16</v>
      </c>
      <c r="G328" s="83" t="s">
        <v>185</v>
      </c>
      <c r="H328" s="83" t="s">
        <v>14</v>
      </c>
      <c r="I328" s="83" t="s">
        <v>103</v>
      </c>
      <c r="J328" s="83">
        <v>20</v>
      </c>
      <c r="K328" s="84"/>
      <c r="L328" s="83" t="s">
        <v>26</v>
      </c>
      <c r="M328" s="83" t="s">
        <v>60</v>
      </c>
      <c r="N328" s="85">
        <v>45943</v>
      </c>
      <c r="O328" s="86" t="s">
        <v>10</v>
      </c>
      <c r="P328" s="85" t="s">
        <v>20</v>
      </c>
      <c r="Q328" s="91">
        <v>974735441</v>
      </c>
      <c r="R328" s="87"/>
      <c r="S328" s="30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</row>
    <row r="329" spans="2:37" ht="16.2" x14ac:dyDescent="0.3">
      <c r="B329" s="80">
        <v>321</v>
      </c>
      <c r="C329" s="84" t="s">
        <v>184</v>
      </c>
      <c r="D329" s="82" t="s">
        <v>183</v>
      </c>
      <c r="E329" s="83">
        <v>7509</v>
      </c>
      <c r="F329" s="84" t="s">
        <v>16</v>
      </c>
      <c r="G329" s="84" t="s">
        <v>146</v>
      </c>
      <c r="H329" s="84" t="s">
        <v>14</v>
      </c>
      <c r="I329" s="84" t="s">
        <v>19</v>
      </c>
      <c r="J329" s="84">
        <v>45</v>
      </c>
      <c r="K329" s="84"/>
      <c r="L329" s="84" t="s">
        <v>26</v>
      </c>
      <c r="M329" s="84" t="s">
        <v>60</v>
      </c>
      <c r="N329" s="85">
        <v>45943</v>
      </c>
      <c r="O329" s="86" t="s">
        <v>10</v>
      </c>
      <c r="P329" s="97" t="s">
        <v>20</v>
      </c>
      <c r="Q329" s="91">
        <v>855076200</v>
      </c>
      <c r="R329" s="91"/>
      <c r="S329" s="30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</row>
    <row r="330" spans="2:37" ht="16.2" x14ac:dyDescent="0.3">
      <c r="B330" s="80">
        <v>322</v>
      </c>
      <c r="C330" s="84" t="s">
        <v>182</v>
      </c>
      <c r="D330" s="82" t="s">
        <v>181</v>
      </c>
      <c r="E330" s="83">
        <v>7510</v>
      </c>
      <c r="F330" s="83" t="s">
        <v>16</v>
      </c>
      <c r="G330" s="83" t="s">
        <v>146</v>
      </c>
      <c r="H330" s="83" t="s">
        <v>14</v>
      </c>
      <c r="I330" s="83" t="s">
        <v>56</v>
      </c>
      <c r="J330" s="83">
        <v>50</v>
      </c>
      <c r="K330" s="84"/>
      <c r="L330" s="83" t="s">
        <v>12</v>
      </c>
      <c r="M330" s="83" t="s">
        <v>60</v>
      </c>
      <c r="N330" s="85">
        <v>45943</v>
      </c>
      <c r="O330" s="86" t="s">
        <v>10</v>
      </c>
      <c r="P330" s="85" t="s">
        <v>20</v>
      </c>
      <c r="Q330" s="91">
        <v>972092937</v>
      </c>
      <c r="R330" s="87"/>
      <c r="S330" s="30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</row>
    <row r="331" spans="2:37" ht="16.2" x14ac:dyDescent="0.3">
      <c r="B331" s="80">
        <v>323</v>
      </c>
      <c r="C331" s="84" t="s">
        <v>180</v>
      </c>
      <c r="D331" s="82" t="s">
        <v>179</v>
      </c>
      <c r="E331" s="83">
        <v>7511</v>
      </c>
      <c r="F331" s="83" t="s">
        <v>28</v>
      </c>
      <c r="G331" s="83" t="s">
        <v>50</v>
      </c>
      <c r="H331" s="83" t="s">
        <v>14</v>
      </c>
      <c r="I331" s="83" t="s">
        <v>19</v>
      </c>
      <c r="J331" s="83">
        <v>40</v>
      </c>
      <c r="K331" s="84"/>
      <c r="L331" s="83" t="s">
        <v>26</v>
      </c>
      <c r="M331" s="83" t="s">
        <v>60</v>
      </c>
      <c r="N331" s="85">
        <v>45943</v>
      </c>
      <c r="O331" s="86" t="s">
        <v>10</v>
      </c>
      <c r="P331" s="85" t="s">
        <v>9</v>
      </c>
      <c r="Q331" s="91">
        <v>990424499</v>
      </c>
      <c r="R331" s="87"/>
      <c r="S331" s="30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</row>
    <row r="332" spans="2:37" ht="16.2" x14ac:dyDescent="0.3">
      <c r="B332" s="80">
        <v>324</v>
      </c>
      <c r="C332" s="84" t="s">
        <v>178</v>
      </c>
      <c r="D332" s="82" t="s">
        <v>177</v>
      </c>
      <c r="E332" s="83">
        <v>7515</v>
      </c>
      <c r="F332" s="83" t="s">
        <v>16</v>
      </c>
      <c r="G332" s="83" t="s">
        <v>161</v>
      </c>
      <c r="H332" s="83" t="s">
        <v>14</v>
      </c>
      <c r="I332" s="83" t="s">
        <v>19</v>
      </c>
      <c r="J332" s="83">
        <v>80</v>
      </c>
      <c r="K332" s="84"/>
      <c r="L332" s="83" t="s">
        <v>12</v>
      </c>
      <c r="M332" s="83" t="s">
        <v>49</v>
      </c>
      <c r="N332" s="85">
        <v>45944</v>
      </c>
      <c r="O332" s="86" t="s">
        <v>25</v>
      </c>
      <c r="P332" s="85" t="s">
        <v>20</v>
      </c>
      <c r="Q332" s="91">
        <v>997024635</v>
      </c>
      <c r="R332" s="87"/>
      <c r="S332" s="30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</row>
    <row r="333" spans="2:37" ht="16.2" x14ac:dyDescent="0.3">
      <c r="B333" s="80">
        <v>325</v>
      </c>
      <c r="C333" s="84" t="s">
        <v>176</v>
      </c>
      <c r="D333" s="82" t="s">
        <v>175</v>
      </c>
      <c r="E333" s="83">
        <v>7517</v>
      </c>
      <c r="F333" s="83" t="s">
        <v>16</v>
      </c>
      <c r="G333" s="83" t="s">
        <v>174</v>
      </c>
      <c r="H333" s="83" t="s">
        <v>14</v>
      </c>
      <c r="I333" s="83" t="s">
        <v>19</v>
      </c>
      <c r="J333" s="83">
        <v>80</v>
      </c>
      <c r="K333" s="84"/>
      <c r="L333" s="83" t="s">
        <v>12</v>
      </c>
      <c r="M333" s="83" t="s">
        <v>49</v>
      </c>
      <c r="N333" s="85">
        <v>45944</v>
      </c>
      <c r="O333" s="86" t="s">
        <v>25</v>
      </c>
      <c r="P333" s="85" t="s">
        <v>20</v>
      </c>
      <c r="Q333" s="91">
        <v>9930769789</v>
      </c>
      <c r="R333" s="87"/>
      <c r="S333" s="30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</row>
    <row r="334" spans="2:37" ht="16.2" x14ac:dyDescent="0.3">
      <c r="B334" s="80">
        <v>326</v>
      </c>
      <c r="C334" s="84" t="s">
        <v>173</v>
      </c>
      <c r="D334" s="82" t="s">
        <v>172</v>
      </c>
      <c r="E334" s="83">
        <v>7524</v>
      </c>
      <c r="F334" s="83" t="s">
        <v>16</v>
      </c>
      <c r="G334" s="83" t="s">
        <v>161</v>
      </c>
      <c r="H334" s="83" t="s">
        <v>14</v>
      </c>
      <c r="I334" s="83" t="s">
        <v>19</v>
      </c>
      <c r="J334" s="83">
        <v>80</v>
      </c>
      <c r="K334" s="84"/>
      <c r="L334" s="83" t="s">
        <v>12</v>
      </c>
      <c r="M334" s="83" t="s">
        <v>49</v>
      </c>
      <c r="N334" s="85">
        <v>45944</v>
      </c>
      <c r="O334" s="86" t="s">
        <v>25</v>
      </c>
      <c r="P334" s="85" t="s">
        <v>20</v>
      </c>
      <c r="Q334" s="91">
        <v>814045842</v>
      </c>
      <c r="R334" s="87"/>
      <c r="S334" s="30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</row>
    <row r="335" spans="2:37" ht="16.2" x14ac:dyDescent="0.3">
      <c r="B335" s="80">
        <v>327</v>
      </c>
      <c r="C335" s="84" t="s">
        <v>171</v>
      </c>
      <c r="D335" s="82" t="s">
        <v>170</v>
      </c>
      <c r="E335" s="83">
        <v>7525</v>
      </c>
      <c r="F335" s="83" t="s">
        <v>16</v>
      </c>
      <c r="G335" s="83" t="s">
        <v>167</v>
      </c>
      <c r="H335" s="83" t="s">
        <v>14</v>
      </c>
      <c r="I335" s="83" t="s">
        <v>19</v>
      </c>
      <c r="J335" s="83">
        <v>80</v>
      </c>
      <c r="K335" s="84"/>
      <c r="L335" s="83" t="s">
        <v>12</v>
      </c>
      <c r="M335" s="83" t="s">
        <v>49</v>
      </c>
      <c r="N335" s="85">
        <v>45944</v>
      </c>
      <c r="O335" s="86" t="s">
        <v>25</v>
      </c>
      <c r="P335" s="85" t="s">
        <v>20</v>
      </c>
      <c r="Q335" s="91" t="s">
        <v>96</v>
      </c>
      <c r="R335" s="87"/>
      <c r="S335" s="30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</row>
    <row r="336" spans="2:37" ht="16.2" x14ac:dyDescent="0.3">
      <c r="B336" s="80">
        <v>328</v>
      </c>
      <c r="C336" s="84" t="s">
        <v>99</v>
      </c>
      <c r="D336" s="82" t="s">
        <v>98</v>
      </c>
      <c r="E336" s="83">
        <v>7526</v>
      </c>
      <c r="F336" s="83" t="s">
        <v>16</v>
      </c>
      <c r="G336" s="83" t="s">
        <v>97</v>
      </c>
      <c r="H336" s="83" t="s">
        <v>14</v>
      </c>
      <c r="I336" s="83" t="s">
        <v>56</v>
      </c>
      <c r="J336" s="83">
        <v>20</v>
      </c>
      <c r="K336" s="84"/>
      <c r="L336" s="83" t="s">
        <v>12</v>
      </c>
      <c r="M336" s="83" t="s">
        <v>49</v>
      </c>
      <c r="N336" s="85">
        <v>45944</v>
      </c>
      <c r="O336" s="86" t="s">
        <v>25</v>
      </c>
      <c r="P336" s="85" t="s">
        <v>20</v>
      </c>
      <c r="Q336" s="91" t="s">
        <v>96</v>
      </c>
      <c r="R336" s="87"/>
      <c r="S336" s="30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</row>
    <row r="337" spans="2:37" ht="16.2" x14ac:dyDescent="0.3">
      <c r="B337" s="80">
        <v>329</v>
      </c>
      <c r="C337" s="84" t="s">
        <v>169</v>
      </c>
      <c r="D337" s="82" t="s">
        <v>168</v>
      </c>
      <c r="E337" s="83">
        <v>7535</v>
      </c>
      <c r="F337" s="83" t="s">
        <v>16</v>
      </c>
      <c r="G337" s="83" t="s">
        <v>167</v>
      </c>
      <c r="H337" s="83" t="s">
        <v>14</v>
      </c>
      <c r="I337" s="83" t="s">
        <v>19</v>
      </c>
      <c r="J337" s="83">
        <v>80</v>
      </c>
      <c r="K337" s="84"/>
      <c r="L337" s="83" t="s">
        <v>12</v>
      </c>
      <c r="M337" s="83" t="s">
        <v>11</v>
      </c>
      <c r="N337" s="85">
        <v>45945</v>
      </c>
      <c r="O337" s="86" t="s">
        <v>25</v>
      </c>
      <c r="P337" s="85" t="s">
        <v>20</v>
      </c>
      <c r="Q337" s="91">
        <v>857374398</v>
      </c>
      <c r="R337" s="87"/>
      <c r="S337" s="30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</row>
    <row r="338" spans="2:37" ht="16.2" x14ac:dyDescent="0.3">
      <c r="B338" s="80">
        <v>330</v>
      </c>
      <c r="C338" s="84" t="s">
        <v>166</v>
      </c>
      <c r="D338" s="82" t="s">
        <v>165</v>
      </c>
      <c r="E338" s="83">
        <v>7537</v>
      </c>
      <c r="F338" s="83" t="s">
        <v>28</v>
      </c>
      <c r="G338" s="83" t="s">
        <v>164</v>
      </c>
      <c r="H338" s="83" t="s">
        <v>14</v>
      </c>
      <c r="I338" s="83" t="s">
        <v>19</v>
      </c>
      <c r="J338" s="83">
        <v>100</v>
      </c>
      <c r="K338" s="84"/>
      <c r="L338" s="83" t="s">
        <v>12</v>
      </c>
      <c r="M338" s="83" t="s">
        <v>49</v>
      </c>
      <c r="N338" s="85">
        <v>45945</v>
      </c>
      <c r="O338" s="86" t="s">
        <v>25</v>
      </c>
      <c r="P338" s="85" t="s">
        <v>20</v>
      </c>
      <c r="Q338" s="91">
        <v>977097926</v>
      </c>
      <c r="R338" s="87"/>
      <c r="S338" s="30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</row>
    <row r="339" spans="2:37" ht="16.2" x14ac:dyDescent="0.3">
      <c r="B339" s="80">
        <v>331</v>
      </c>
      <c r="C339" s="84" t="s">
        <v>163</v>
      </c>
      <c r="D339" s="82" t="s">
        <v>162</v>
      </c>
      <c r="E339" s="83">
        <v>7539</v>
      </c>
      <c r="F339" s="83" t="s">
        <v>28</v>
      </c>
      <c r="G339" s="83" t="s">
        <v>161</v>
      </c>
      <c r="H339" s="83" t="s">
        <v>14</v>
      </c>
      <c r="I339" s="83" t="s">
        <v>19</v>
      </c>
      <c r="J339" s="83">
        <v>80</v>
      </c>
      <c r="K339" s="84"/>
      <c r="L339" s="83" t="s">
        <v>26</v>
      </c>
      <c r="M339" s="83" t="s">
        <v>49</v>
      </c>
      <c r="N339" s="85">
        <v>45945</v>
      </c>
      <c r="O339" s="86" t="s">
        <v>25</v>
      </c>
      <c r="P339" s="85" t="s">
        <v>20</v>
      </c>
      <c r="Q339" s="91">
        <v>810007325</v>
      </c>
      <c r="R339" s="87"/>
      <c r="S339" s="30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</row>
    <row r="340" spans="2:37" ht="16.2" x14ac:dyDescent="0.3">
      <c r="B340" s="80">
        <v>332</v>
      </c>
      <c r="C340" s="81" t="s">
        <v>160</v>
      </c>
      <c r="D340" s="82" t="s">
        <v>159</v>
      </c>
      <c r="E340" s="83">
        <v>7540</v>
      </c>
      <c r="F340" s="83" t="s">
        <v>28</v>
      </c>
      <c r="G340" s="83" t="s">
        <v>97</v>
      </c>
      <c r="H340" s="83" t="s">
        <v>14</v>
      </c>
      <c r="I340" s="83" t="s">
        <v>56</v>
      </c>
      <c r="J340" s="83">
        <v>70</v>
      </c>
      <c r="K340" s="84"/>
      <c r="L340" s="83" t="s">
        <v>26</v>
      </c>
      <c r="M340" s="83" t="s">
        <v>88</v>
      </c>
      <c r="N340" s="85">
        <v>45946</v>
      </c>
      <c r="O340" s="86" t="s">
        <v>25</v>
      </c>
      <c r="P340" s="85" t="s">
        <v>20</v>
      </c>
      <c r="Q340" s="91">
        <v>902793844</v>
      </c>
      <c r="R340" s="87"/>
      <c r="S340" s="30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</row>
    <row r="341" spans="2:37" ht="16.2" x14ac:dyDescent="0.3">
      <c r="B341" s="80">
        <v>333</v>
      </c>
      <c r="C341" s="81" t="s">
        <v>158</v>
      </c>
      <c r="D341" s="82" t="s">
        <v>157</v>
      </c>
      <c r="E341" s="83">
        <v>7530</v>
      </c>
      <c r="F341" s="83" t="s">
        <v>28</v>
      </c>
      <c r="G341" s="83" t="s">
        <v>68</v>
      </c>
      <c r="H341" s="83" t="s">
        <v>14</v>
      </c>
      <c r="I341" s="83" t="s">
        <v>19</v>
      </c>
      <c r="J341" s="83">
        <v>55</v>
      </c>
      <c r="K341" s="84"/>
      <c r="L341" s="83" t="s">
        <v>26</v>
      </c>
      <c r="M341" s="83" t="s">
        <v>11</v>
      </c>
      <c r="N341" s="85">
        <v>45945</v>
      </c>
      <c r="O341" s="86" t="s">
        <v>25</v>
      </c>
      <c r="P341" s="85" t="s">
        <v>20</v>
      </c>
      <c r="Q341" s="91">
        <v>993634343</v>
      </c>
      <c r="R341" s="87"/>
      <c r="S341" s="30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</row>
    <row r="342" spans="2:37" ht="16.2" customHeight="1" x14ac:dyDescent="0.3">
      <c r="B342" s="80">
        <v>334</v>
      </c>
      <c r="C342" s="84" t="s">
        <v>156</v>
      </c>
      <c r="D342" s="82" t="s">
        <v>155</v>
      </c>
      <c r="E342" s="83">
        <v>7531</v>
      </c>
      <c r="F342" s="83" t="s">
        <v>28</v>
      </c>
      <c r="G342" s="84" t="s">
        <v>100</v>
      </c>
      <c r="H342" s="83" t="s">
        <v>14</v>
      </c>
      <c r="I342" s="83" t="s">
        <v>19</v>
      </c>
      <c r="J342" s="83">
        <v>55</v>
      </c>
      <c r="K342" s="84"/>
      <c r="L342" s="83" t="s">
        <v>12</v>
      </c>
      <c r="M342" s="83" t="s">
        <v>11</v>
      </c>
      <c r="N342" s="85">
        <v>45945</v>
      </c>
      <c r="O342" s="86" t="s">
        <v>10</v>
      </c>
      <c r="P342" s="85" t="s">
        <v>20</v>
      </c>
      <c r="Q342" s="91">
        <v>999301028</v>
      </c>
      <c r="R342" s="87"/>
      <c r="S342" s="30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</row>
    <row r="343" spans="2:37" ht="16.2" x14ac:dyDescent="0.3">
      <c r="B343" s="80">
        <v>335</v>
      </c>
      <c r="C343" s="84" t="s">
        <v>154</v>
      </c>
      <c r="D343" s="82" t="s">
        <v>153</v>
      </c>
      <c r="E343" s="83">
        <v>7532</v>
      </c>
      <c r="F343" s="83" t="s">
        <v>28</v>
      </c>
      <c r="G343" s="83" t="s">
        <v>140</v>
      </c>
      <c r="H343" s="83" t="s">
        <v>14</v>
      </c>
      <c r="I343" s="83" t="s">
        <v>19</v>
      </c>
      <c r="J343" s="83">
        <v>55</v>
      </c>
      <c r="K343" s="84"/>
      <c r="L343" s="83" t="s">
        <v>12</v>
      </c>
      <c r="M343" s="83" t="s">
        <v>11</v>
      </c>
      <c r="N343" s="85">
        <v>45945</v>
      </c>
      <c r="O343" s="86" t="s">
        <v>25</v>
      </c>
      <c r="P343" s="85" t="s">
        <v>20</v>
      </c>
      <c r="Q343" s="91">
        <v>999301028</v>
      </c>
      <c r="R343" s="87"/>
      <c r="S343" s="30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</row>
    <row r="344" spans="2:37" ht="16.2" x14ac:dyDescent="0.3">
      <c r="B344" s="80">
        <v>336</v>
      </c>
      <c r="C344" s="84" t="s">
        <v>152</v>
      </c>
      <c r="D344" s="82" t="s">
        <v>151</v>
      </c>
      <c r="E344" s="83">
        <v>7534</v>
      </c>
      <c r="F344" s="83" t="s">
        <v>16</v>
      </c>
      <c r="G344" s="83" t="s">
        <v>150</v>
      </c>
      <c r="H344" s="83" t="s">
        <v>14</v>
      </c>
      <c r="I344" s="83" t="s">
        <v>56</v>
      </c>
      <c r="J344" s="83">
        <v>40</v>
      </c>
      <c r="K344" s="84"/>
      <c r="L344" s="83" t="s">
        <v>12</v>
      </c>
      <c r="M344" s="83" t="s">
        <v>11</v>
      </c>
      <c r="N344" s="85">
        <v>45945</v>
      </c>
      <c r="O344" s="86" t="s">
        <v>10</v>
      </c>
      <c r="P344" s="85" t="s">
        <v>20</v>
      </c>
      <c r="Q344" s="91" t="s">
        <v>149</v>
      </c>
      <c r="R344" s="87"/>
      <c r="S344" s="30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</row>
    <row r="345" spans="2:37" ht="16.2" x14ac:dyDescent="0.3">
      <c r="B345" s="80">
        <v>337</v>
      </c>
      <c r="C345" s="84" t="s">
        <v>148</v>
      </c>
      <c r="D345" s="82" t="s">
        <v>147</v>
      </c>
      <c r="E345" s="83">
        <v>7536</v>
      </c>
      <c r="F345" s="83" t="s">
        <v>16</v>
      </c>
      <c r="G345" s="83" t="s">
        <v>146</v>
      </c>
      <c r="H345" s="83" t="s">
        <v>14</v>
      </c>
      <c r="I345" s="83" t="s">
        <v>19</v>
      </c>
      <c r="J345" s="83">
        <v>55</v>
      </c>
      <c r="K345" s="84"/>
      <c r="L345" s="83" t="s">
        <v>12</v>
      </c>
      <c r="M345" s="83" t="s">
        <v>11</v>
      </c>
      <c r="N345" s="85">
        <v>45945</v>
      </c>
      <c r="O345" s="86" t="s">
        <v>10</v>
      </c>
      <c r="P345" s="85" t="s">
        <v>20</v>
      </c>
      <c r="Q345" s="91"/>
      <c r="R345" s="87"/>
      <c r="S345" s="30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</row>
    <row r="346" spans="2:37" ht="16.2" x14ac:dyDescent="0.3">
      <c r="B346" s="80">
        <v>338</v>
      </c>
      <c r="C346" s="84" t="s">
        <v>145</v>
      </c>
      <c r="D346" s="82" t="s">
        <v>144</v>
      </c>
      <c r="E346" s="83">
        <v>7538</v>
      </c>
      <c r="F346" s="83" t="s">
        <v>28</v>
      </c>
      <c r="G346" s="84" t="s">
        <v>37</v>
      </c>
      <c r="H346" s="83" t="s">
        <v>14</v>
      </c>
      <c r="I346" s="83" t="s">
        <v>19</v>
      </c>
      <c r="J346" s="83">
        <v>45</v>
      </c>
      <c r="K346" s="84"/>
      <c r="L346" s="83" t="s">
        <v>12</v>
      </c>
      <c r="M346" s="83" t="s">
        <v>11</v>
      </c>
      <c r="N346" s="85">
        <v>45945</v>
      </c>
      <c r="O346" s="86" t="s">
        <v>10</v>
      </c>
      <c r="P346" s="85" t="s">
        <v>20</v>
      </c>
      <c r="Q346" s="91" t="s">
        <v>143</v>
      </c>
      <c r="R346" s="87"/>
      <c r="S346" s="30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</row>
    <row r="347" spans="2:37" ht="16.2" x14ac:dyDescent="0.3">
      <c r="B347" s="80">
        <v>339</v>
      </c>
      <c r="C347" s="84" t="s">
        <v>142</v>
      </c>
      <c r="D347" s="82" t="s">
        <v>141</v>
      </c>
      <c r="E347" s="83">
        <v>7512</v>
      </c>
      <c r="F347" s="83" t="s">
        <v>16</v>
      </c>
      <c r="G347" s="84" t="s">
        <v>140</v>
      </c>
      <c r="H347" s="83" t="s">
        <v>14</v>
      </c>
      <c r="I347" s="83" t="s">
        <v>19</v>
      </c>
      <c r="J347" s="83">
        <v>50</v>
      </c>
      <c r="K347" s="84"/>
      <c r="L347" s="83" t="s">
        <v>26</v>
      </c>
      <c r="M347" s="83" t="s">
        <v>49</v>
      </c>
      <c r="N347" s="85">
        <v>45944</v>
      </c>
      <c r="O347" s="86" t="s">
        <v>25</v>
      </c>
      <c r="P347" s="85" t="s">
        <v>20</v>
      </c>
      <c r="Q347" s="91"/>
      <c r="R347" s="87"/>
      <c r="S347" s="30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</row>
    <row r="348" spans="2:37" ht="16.2" x14ac:dyDescent="0.3">
      <c r="B348" s="80">
        <v>340</v>
      </c>
      <c r="C348" s="84" t="s">
        <v>139</v>
      </c>
      <c r="D348" s="82" t="s">
        <v>138</v>
      </c>
      <c r="E348" s="83">
        <v>7518</v>
      </c>
      <c r="F348" s="83" t="s">
        <v>28</v>
      </c>
      <c r="G348" s="83" t="s">
        <v>57</v>
      </c>
      <c r="H348" s="83" t="s">
        <v>14</v>
      </c>
      <c r="I348" s="83" t="s">
        <v>19</v>
      </c>
      <c r="J348" s="83">
        <v>40</v>
      </c>
      <c r="K348" s="84"/>
      <c r="L348" s="83" t="s">
        <v>12</v>
      </c>
      <c r="M348" s="83" t="s">
        <v>49</v>
      </c>
      <c r="N348" s="85">
        <v>45944</v>
      </c>
      <c r="O348" s="86" t="s">
        <v>25</v>
      </c>
      <c r="P348" s="85" t="s">
        <v>20</v>
      </c>
      <c r="Q348" s="91">
        <v>970522307</v>
      </c>
      <c r="R348" s="87"/>
      <c r="S348" s="30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</row>
    <row r="349" spans="2:37" ht="16.2" x14ac:dyDescent="0.3">
      <c r="B349" s="80">
        <v>341</v>
      </c>
      <c r="C349" s="84" t="s">
        <v>139</v>
      </c>
      <c r="D349" s="82" t="s">
        <v>138</v>
      </c>
      <c r="E349" s="83">
        <v>7519</v>
      </c>
      <c r="F349" s="83" t="s">
        <v>28</v>
      </c>
      <c r="G349" s="83" t="s">
        <v>57</v>
      </c>
      <c r="H349" s="83" t="s">
        <v>14</v>
      </c>
      <c r="I349" s="83" t="s">
        <v>13</v>
      </c>
      <c r="J349" s="83">
        <v>40</v>
      </c>
      <c r="K349" s="84"/>
      <c r="L349" s="83" t="s">
        <v>12</v>
      </c>
      <c r="M349" s="83" t="s">
        <v>49</v>
      </c>
      <c r="N349" s="85">
        <v>45944</v>
      </c>
      <c r="O349" s="86" t="s">
        <v>25</v>
      </c>
      <c r="P349" s="85" t="s">
        <v>20</v>
      </c>
      <c r="Q349" s="91">
        <v>970522307</v>
      </c>
      <c r="R349" s="87"/>
      <c r="S349" s="30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</row>
    <row r="350" spans="2:37" ht="16.2" x14ac:dyDescent="0.3">
      <c r="B350" s="80">
        <v>342</v>
      </c>
      <c r="C350" s="84" t="s">
        <v>137</v>
      </c>
      <c r="D350" s="82" t="s">
        <v>136</v>
      </c>
      <c r="E350" s="83">
        <v>7520</v>
      </c>
      <c r="F350" s="83" t="s">
        <v>28</v>
      </c>
      <c r="G350" s="83" t="s">
        <v>80</v>
      </c>
      <c r="H350" s="83" t="s">
        <v>14</v>
      </c>
      <c r="I350" s="83" t="s">
        <v>19</v>
      </c>
      <c r="J350" s="83">
        <v>30</v>
      </c>
      <c r="K350" s="84"/>
      <c r="L350" s="83" t="s">
        <v>12</v>
      </c>
      <c r="M350" s="83" t="s">
        <v>49</v>
      </c>
      <c r="N350" s="85">
        <v>45944</v>
      </c>
      <c r="O350" s="86" t="s">
        <v>10</v>
      </c>
      <c r="P350" s="85" t="s">
        <v>9</v>
      </c>
      <c r="Q350" s="91">
        <v>997001342</v>
      </c>
      <c r="R350" s="87"/>
      <c r="S350" s="30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</row>
    <row r="351" spans="2:37" ht="16.2" customHeight="1" x14ac:dyDescent="0.3">
      <c r="B351" s="80">
        <v>343</v>
      </c>
      <c r="C351" s="84" t="s">
        <v>135</v>
      </c>
      <c r="D351" s="82" t="s">
        <v>134</v>
      </c>
      <c r="E351" s="83">
        <v>7521</v>
      </c>
      <c r="F351" s="83" t="s">
        <v>28</v>
      </c>
      <c r="G351" s="84" t="s">
        <v>133</v>
      </c>
      <c r="H351" s="83" t="s">
        <v>14</v>
      </c>
      <c r="I351" s="83" t="s">
        <v>19</v>
      </c>
      <c r="J351" s="83">
        <v>30</v>
      </c>
      <c r="K351" s="84"/>
      <c r="L351" s="83" t="s">
        <v>12</v>
      </c>
      <c r="M351" s="83" t="s">
        <v>49</v>
      </c>
      <c r="N351" s="85">
        <v>45944</v>
      </c>
      <c r="O351" s="86" t="s">
        <v>10</v>
      </c>
      <c r="P351" s="85" t="s">
        <v>9</v>
      </c>
      <c r="Q351" s="91">
        <v>977001342</v>
      </c>
      <c r="R351" s="87"/>
      <c r="S351" s="30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</row>
    <row r="352" spans="2:37" ht="16.2" x14ac:dyDescent="0.3">
      <c r="B352" s="80">
        <v>344</v>
      </c>
      <c r="C352" s="84" t="s">
        <v>132</v>
      </c>
      <c r="D352" s="82" t="s">
        <v>131</v>
      </c>
      <c r="E352" s="83">
        <v>7522</v>
      </c>
      <c r="F352" s="83" t="s">
        <v>28</v>
      </c>
      <c r="G352" s="83" t="s">
        <v>130</v>
      </c>
      <c r="H352" s="83" t="s">
        <v>14</v>
      </c>
      <c r="I352" s="83" t="s">
        <v>19</v>
      </c>
      <c r="J352" s="83">
        <v>55</v>
      </c>
      <c r="K352" s="84"/>
      <c r="L352" s="83" t="s">
        <v>26</v>
      </c>
      <c r="M352" s="83" t="s">
        <v>49</v>
      </c>
      <c r="N352" s="85">
        <v>45944</v>
      </c>
      <c r="O352" s="86" t="s">
        <v>10</v>
      </c>
      <c r="P352" s="85" t="s">
        <v>20</v>
      </c>
      <c r="Q352" s="91">
        <v>838354809</v>
      </c>
      <c r="R352" s="87"/>
      <c r="S352" s="30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</row>
    <row r="353" spans="2:37" ht="16.2" x14ac:dyDescent="0.3">
      <c r="B353" s="80">
        <v>345</v>
      </c>
      <c r="C353" s="84" t="s">
        <v>129</v>
      </c>
      <c r="D353" s="82" t="s">
        <v>128</v>
      </c>
      <c r="E353" s="83">
        <v>7523</v>
      </c>
      <c r="F353" s="83" t="s">
        <v>28</v>
      </c>
      <c r="G353" s="83" t="s">
        <v>127</v>
      </c>
      <c r="H353" s="83" t="s">
        <v>14</v>
      </c>
      <c r="I353" s="83" t="s">
        <v>19</v>
      </c>
      <c r="J353" s="83">
        <v>55</v>
      </c>
      <c r="K353" s="84"/>
      <c r="L353" s="83" t="s">
        <v>26</v>
      </c>
      <c r="M353" s="83" t="s">
        <v>49</v>
      </c>
      <c r="N353" s="85">
        <v>45944</v>
      </c>
      <c r="O353" s="86" t="s">
        <v>10</v>
      </c>
      <c r="P353" s="85" t="s">
        <v>20</v>
      </c>
      <c r="Q353" s="91">
        <v>838354809</v>
      </c>
      <c r="R353" s="87"/>
      <c r="S353" s="30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</row>
    <row r="354" spans="2:37" ht="16.2" x14ac:dyDescent="0.3">
      <c r="B354" s="80">
        <v>346</v>
      </c>
      <c r="C354" s="84" t="s">
        <v>126</v>
      </c>
      <c r="D354" s="82" t="s">
        <v>125</v>
      </c>
      <c r="E354" s="83">
        <v>7527</v>
      </c>
      <c r="F354" s="83" t="s">
        <v>28</v>
      </c>
      <c r="G354" s="84" t="s">
        <v>124</v>
      </c>
      <c r="H354" s="83" t="s">
        <v>14</v>
      </c>
      <c r="I354" s="83" t="s">
        <v>19</v>
      </c>
      <c r="J354" s="83">
        <v>40</v>
      </c>
      <c r="K354" s="84"/>
      <c r="L354" s="83" t="s">
        <v>12</v>
      </c>
      <c r="M354" s="83" t="s">
        <v>49</v>
      </c>
      <c r="N354" s="85">
        <v>45944</v>
      </c>
      <c r="O354" s="86" t="s">
        <v>10</v>
      </c>
      <c r="P354" s="85" t="s">
        <v>20</v>
      </c>
      <c r="Q354" s="91"/>
      <c r="R354" s="87"/>
      <c r="S354" s="30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</row>
    <row r="355" spans="2:37" ht="16.2" x14ac:dyDescent="0.3">
      <c r="B355" s="80">
        <v>347</v>
      </c>
      <c r="C355" s="84" t="s">
        <v>123</v>
      </c>
      <c r="D355" s="82" t="s">
        <v>122</v>
      </c>
      <c r="E355" s="83">
        <v>7528</v>
      </c>
      <c r="F355" s="83" t="s">
        <v>16</v>
      </c>
      <c r="G355" s="83" t="s">
        <v>46</v>
      </c>
      <c r="H355" s="83" t="s">
        <v>14</v>
      </c>
      <c r="I355" s="83" t="s">
        <v>19</v>
      </c>
      <c r="J355" s="83">
        <v>35</v>
      </c>
      <c r="K355" s="84"/>
      <c r="L355" s="83" t="s">
        <v>26</v>
      </c>
      <c r="M355" s="83" t="s">
        <v>49</v>
      </c>
      <c r="N355" s="85">
        <v>45944</v>
      </c>
      <c r="O355" s="86" t="s">
        <v>10</v>
      </c>
      <c r="P355" s="85" t="s">
        <v>0</v>
      </c>
      <c r="Q355" s="91"/>
      <c r="R355" s="87"/>
      <c r="S355" s="30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</row>
    <row r="356" spans="2:37" ht="16.2" x14ac:dyDescent="0.3">
      <c r="B356" s="80">
        <v>348</v>
      </c>
      <c r="C356" s="84" t="s">
        <v>121</v>
      </c>
      <c r="D356" s="82" t="s">
        <v>120</v>
      </c>
      <c r="E356" s="83">
        <v>7529</v>
      </c>
      <c r="F356" s="83" t="s">
        <v>28</v>
      </c>
      <c r="G356" s="83" t="s">
        <v>100</v>
      </c>
      <c r="H356" s="83" t="s">
        <v>14</v>
      </c>
      <c r="I356" s="83" t="s">
        <v>56</v>
      </c>
      <c r="J356" s="83">
        <v>40</v>
      </c>
      <c r="K356" s="84"/>
      <c r="L356" s="83" t="s">
        <v>12</v>
      </c>
      <c r="M356" s="83" t="s">
        <v>49</v>
      </c>
      <c r="N356" s="85">
        <v>45944</v>
      </c>
      <c r="O356" s="86" t="s">
        <v>10</v>
      </c>
      <c r="P356" s="85" t="s">
        <v>20</v>
      </c>
      <c r="Q356" s="91">
        <v>974500668</v>
      </c>
      <c r="R356" s="87"/>
      <c r="S356" s="30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</row>
    <row r="357" spans="2:37" ht="16.2" x14ac:dyDescent="0.3">
      <c r="B357" s="80">
        <v>349</v>
      </c>
      <c r="C357" s="84" t="s">
        <v>119</v>
      </c>
      <c r="D357" s="82" t="s">
        <v>118</v>
      </c>
      <c r="E357" s="83">
        <v>7541</v>
      </c>
      <c r="F357" s="83" t="s">
        <v>16</v>
      </c>
      <c r="G357" s="83" t="s">
        <v>72</v>
      </c>
      <c r="H357" s="83" t="s">
        <v>14</v>
      </c>
      <c r="I357" s="83" t="s">
        <v>19</v>
      </c>
      <c r="J357" s="83">
        <v>55</v>
      </c>
      <c r="K357" s="84"/>
      <c r="L357" s="83" t="s">
        <v>12</v>
      </c>
      <c r="M357" s="83" t="s">
        <v>112</v>
      </c>
      <c r="N357" s="85">
        <v>45946</v>
      </c>
      <c r="O357" s="86" t="s">
        <v>25</v>
      </c>
      <c r="P357" s="85" t="s">
        <v>20</v>
      </c>
      <c r="Q357" s="91">
        <v>976768824</v>
      </c>
      <c r="R357" s="87"/>
      <c r="S357" s="30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</row>
    <row r="358" spans="2:37" ht="16.2" x14ac:dyDescent="0.3">
      <c r="B358" s="80">
        <v>350</v>
      </c>
      <c r="C358" s="84" t="s">
        <v>117</v>
      </c>
      <c r="D358" s="82" t="s">
        <v>116</v>
      </c>
      <c r="E358" s="83">
        <v>7542</v>
      </c>
      <c r="F358" s="83" t="s">
        <v>16</v>
      </c>
      <c r="G358" s="83" t="s">
        <v>37</v>
      </c>
      <c r="H358" s="83" t="s">
        <v>14</v>
      </c>
      <c r="I358" s="83" t="s">
        <v>103</v>
      </c>
      <c r="J358" s="83">
        <v>13.38</v>
      </c>
      <c r="K358" s="84"/>
      <c r="L358" s="83" t="s">
        <v>12</v>
      </c>
      <c r="M358" s="83" t="s">
        <v>112</v>
      </c>
      <c r="N358" s="85">
        <v>45946</v>
      </c>
      <c r="O358" s="86" t="s">
        <v>10</v>
      </c>
      <c r="P358" s="85" t="s">
        <v>20</v>
      </c>
      <c r="Q358" s="91">
        <v>990251755</v>
      </c>
      <c r="R358" s="87"/>
      <c r="S358" s="30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</row>
    <row r="359" spans="2:37" ht="16.2" x14ac:dyDescent="0.3">
      <c r="B359" s="80">
        <v>351</v>
      </c>
      <c r="C359" s="84" t="s">
        <v>115</v>
      </c>
      <c r="D359" s="82" t="s">
        <v>114</v>
      </c>
      <c r="E359" s="83">
        <v>7543</v>
      </c>
      <c r="F359" s="83" t="s">
        <v>16</v>
      </c>
      <c r="G359" s="83" t="s">
        <v>113</v>
      </c>
      <c r="H359" s="83" t="s">
        <v>14</v>
      </c>
      <c r="I359" s="83" t="s">
        <v>103</v>
      </c>
      <c r="J359" s="83">
        <v>13.38</v>
      </c>
      <c r="K359" s="83"/>
      <c r="L359" s="83" t="s">
        <v>12</v>
      </c>
      <c r="M359" s="83" t="s">
        <v>112</v>
      </c>
      <c r="N359" s="85">
        <v>45946</v>
      </c>
      <c r="O359" s="86" t="s">
        <v>10</v>
      </c>
      <c r="P359" s="85" t="s">
        <v>20</v>
      </c>
      <c r="Q359" s="91" t="s">
        <v>111</v>
      </c>
      <c r="R359" s="87"/>
      <c r="S359" s="30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</row>
    <row r="360" spans="2:37" ht="16.2" x14ac:dyDescent="0.3">
      <c r="B360" s="80">
        <v>352</v>
      </c>
      <c r="C360" s="84" t="s">
        <v>110</v>
      </c>
      <c r="D360" s="82" t="s">
        <v>109</v>
      </c>
      <c r="E360" s="83">
        <v>7545</v>
      </c>
      <c r="F360" s="83" t="s">
        <v>28</v>
      </c>
      <c r="G360" s="83" t="s">
        <v>65</v>
      </c>
      <c r="H360" s="83" t="s">
        <v>14</v>
      </c>
      <c r="I360" s="83" t="s">
        <v>13</v>
      </c>
      <c r="J360" s="83">
        <v>50</v>
      </c>
      <c r="K360" s="84"/>
      <c r="L360" s="83" t="s">
        <v>26</v>
      </c>
      <c r="M360" s="83" t="s">
        <v>88</v>
      </c>
      <c r="N360" s="85">
        <v>45947</v>
      </c>
      <c r="O360" s="86" t="s">
        <v>10</v>
      </c>
      <c r="P360" s="85" t="s">
        <v>20</v>
      </c>
      <c r="Q360" s="91"/>
      <c r="R360" s="87"/>
      <c r="S360" s="30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</row>
    <row r="361" spans="2:37" ht="16.2" x14ac:dyDescent="0.3">
      <c r="B361" s="80">
        <v>353</v>
      </c>
      <c r="C361" s="84" t="s">
        <v>108</v>
      </c>
      <c r="D361" s="82" t="s">
        <v>107</v>
      </c>
      <c r="E361" s="83">
        <v>7546</v>
      </c>
      <c r="F361" s="83" t="s">
        <v>16</v>
      </c>
      <c r="G361" s="83" t="s">
        <v>106</v>
      </c>
      <c r="H361" s="83" t="s">
        <v>14</v>
      </c>
      <c r="I361" s="83" t="s">
        <v>13</v>
      </c>
      <c r="J361" s="83">
        <v>100</v>
      </c>
      <c r="K361" s="84"/>
      <c r="L361" s="83" t="s">
        <v>26</v>
      </c>
      <c r="M361" s="83" t="s">
        <v>88</v>
      </c>
      <c r="N361" s="85">
        <v>45947</v>
      </c>
      <c r="O361" s="86" t="s">
        <v>25</v>
      </c>
      <c r="P361" s="85" t="s">
        <v>20</v>
      </c>
      <c r="Q361" s="91">
        <v>990200018</v>
      </c>
      <c r="R361" s="87"/>
      <c r="S361" s="30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</row>
    <row r="362" spans="2:37" ht="16.2" x14ac:dyDescent="0.3">
      <c r="B362" s="80">
        <v>354</v>
      </c>
      <c r="C362" s="84" t="s">
        <v>105</v>
      </c>
      <c r="D362" s="82" t="s">
        <v>104</v>
      </c>
      <c r="E362" s="83">
        <v>7547</v>
      </c>
      <c r="F362" s="83" t="s">
        <v>28</v>
      </c>
      <c r="G362" s="83" t="s">
        <v>100</v>
      </c>
      <c r="H362" s="83" t="s">
        <v>14</v>
      </c>
      <c r="I362" s="83" t="s">
        <v>103</v>
      </c>
      <c r="J362" s="83">
        <v>5</v>
      </c>
      <c r="K362" s="84"/>
      <c r="L362" s="83" t="s">
        <v>26</v>
      </c>
      <c r="M362" s="83" t="s">
        <v>88</v>
      </c>
      <c r="N362" s="85">
        <v>45947</v>
      </c>
      <c r="O362" s="86" t="s">
        <v>10</v>
      </c>
      <c r="P362" s="85" t="s">
        <v>20</v>
      </c>
      <c r="Q362" s="91">
        <v>995552155</v>
      </c>
      <c r="R362" s="87"/>
      <c r="S362" s="30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</row>
    <row r="363" spans="2:37" ht="16.2" x14ac:dyDescent="0.3">
      <c r="B363" s="80">
        <v>355</v>
      </c>
      <c r="C363" s="84" t="s">
        <v>99</v>
      </c>
      <c r="D363" s="82" t="s">
        <v>98</v>
      </c>
      <c r="E363" s="83">
        <v>7548</v>
      </c>
      <c r="F363" s="83" t="s">
        <v>16</v>
      </c>
      <c r="G363" s="83" t="s">
        <v>97</v>
      </c>
      <c r="H363" s="83" t="s">
        <v>14</v>
      </c>
      <c r="I363" s="83" t="s">
        <v>56</v>
      </c>
      <c r="J363" s="83">
        <v>20</v>
      </c>
      <c r="K363" s="84"/>
      <c r="L363" s="83" t="s">
        <v>12</v>
      </c>
      <c r="M363" s="83" t="s">
        <v>88</v>
      </c>
      <c r="N363" s="85">
        <v>45947</v>
      </c>
      <c r="O363" s="86" t="s">
        <v>25</v>
      </c>
      <c r="P363" s="85" t="s">
        <v>20</v>
      </c>
      <c r="Q363" s="91" t="s">
        <v>96</v>
      </c>
      <c r="R363" s="87"/>
      <c r="S363" s="30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</row>
    <row r="364" spans="2:37" ht="16.2" x14ac:dyDescent="0.3">
      <c r="B364" s="80">
        <v>356</v>
      </c>
      <c r="C364" s="84" t="s">
        <v>102</v>
      </c>
      <c r="D364" s="82" t="s">
        <v>101</v>
      </c>
      <c r="E364" s="83">
        <v>7549</v>
      </c>
      <c r="F364" s="83" t="s">
        <v>28</v>
      </c>
      <c r="G364" s="83" t="s">
        <v>100</v>
      </c>
      <c r="H364" s="83" t="s">
        <v>14</v>
      </c>
      <c r="I364" s="83" t="s">
        <v>19</v>
      </c>
      <c r="J364" s="83">
        <v>55</v>
      </c>
      <c r="K364" s="84"/>
      <c r="L364" s="83" t="s">
        <v>12</v>
      </c>
      <c r="M364" s="83" t="s">
        <v>88</v>
      </c>
      <c r="N364" s="85">
        <v>45947</v>
      </c>
      <c r="O364" s="86" t="s">
        <v>10</v>
      </c>
      <c r="P364" s="85" t="s">
        <v>20</v>
      </c>
      <c r="Q364" s="91">
        <v>990333375</v>
      </c>
      <c r="R364" s="87"/>
      <c r="S364" s="30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</row>
    <row r="365" spans="2:37" ht="16.2" x14ac:dyDescent="0.3">
      <c r="B365" s="80">
        <v>357</v>
      </c>
      <c r="C365" s="84" t="s">
        <v>99</v>
      </c>
      <c r="D365" s="82" t="s">
        <v>98</v>
      </c>
      <c r="E365" s="83">
        <v>7550</v>
      </c>
      <c r="F365" s="83" t="s">
        <v>16</v>
      </c>
      <c r="G365" s="83" t="s">
        <v>97</v>
      </c>
      <c r="H365" s="83" t="s">
        <v>14</v>
      </c>
      <c r="I365" s="83" t="s">
        <v>56</v>
      </c>
      <c r="J365" s="83">
        <v>15.38</v>
      </c>
      <c r="K365" s="84"/>
      <c r="L365" s="83" t="s">
        <v>12</v>
      </c>
      <c r="M365" s="83" t="s">
        <v>88</v>
      </c>
      <c r="N365" s="85">
        <v>45947</v>
      </c>
      <c r="O365" s="86" t="s">
        <v>25</v>
      </c>
      <c r="P365" s="85" t="s">
        <v>20</v>
      </c>
      <c r="Q365" s="91" t="s">
        <v>96</v>
      </c>
      <c r="R365" s="87"/>
      <c r="S365" s="30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</row>
    <row r="366" spans="2:37" ht="16.5" customHeight="1" x14ac:dyDescent="0.3">
      <c r="B366" s="80">
        <v>358</v>
      </c>
      <c r="C366" s="84" t="s">
        <v>95</v>
      </c>
      <c r="D366" s="82" t="s">
        <v>94</v>
      </c>
      <c r="E366" s="100">
        <v>6941</v>
      </c>
      <c r="F366" s="99" t="s">
        <v>16</v>
      </c>
      <c r="G366" s="84" t="s">
        <v>31</v>
      </c>
      <c r="H366" s="84" t="s">
        <v>14</v>
      </c>
      <c r="I366" s="83" t="s">
        <v>19</v>
      </c>
      <c r="J366" s="84">
        <v>45</v>
      </c>
      <c r="K366" s="84"/>
      <c r="L366" s="83" t="s">
        <v>26</v>
      </c>
      <c r="M366" s="99" t="s">
        <v>88</v>
      </c>
      <c r="N366" s="85">
        <v>45940</v>
      </c>
      <c r="O366" s="86" t="s">
        <v>25</v>
      </c>
      <c r="P366" s="85" t="s">
        <v>20</v>
      </c>
      <c r="Q366" s="91">
        <v>972259154</v>
      </c>
      <c r="R366" s="87"/>
      <c r="S366" s="30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</row>
    <row r="367" spans="2:37" ht="16.2" x14ac:dyDescent="0.3">
      <c r="B367" s="80">
        <v>359</v>
      </c>
      <c r="C367" s="84" t="s">
        <v>95</v>
      </c>
      <c r="D367" s="82" t="s">
        <v>94</v>
      </c>
      <c r="E367" s="83">
        <v>6942</v>
      </c>
      <c r="F367" s="83" t="s">
        <v>16</v>
      </c>
      <c r="G367" s="83" t="s">
        <v>31</v>
      </c>
      <c r="H367" s="83" t="s">
        <v>14</v>
      </c>
      <c r="I367" s="83" t="s">
        <v>13</v>
      </c>
      <c r="J367" s="83">
        <v>45</v>
      </c>
      <c r="K367" s="84"/>
      <c r="L367" s="83" t="s">
        <v>26</v>
      </c>
      <c r="M367" s="83" t="s">
        <v>88</v>
      </c>
      <c r="N367" s="85">
        <v>45940</v>
      </c>
      <c r="O367" s="86" t="s">
        <v>25</v>
      </c>
      <c r="P367" s="85" t="s">
        <v>20</v>
      </c>
      <c r="Q367" s="91">
        <v>972259154</v>
      </c>
      <c r="R367" s="87"/>
      <c r="S367" s="30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</row>
    <row r="368" spans="2:37" ht="16.2" x14ac:dyDescent="0.3">
      <c r="B368" s="80">
        <v>360</v>
      </c>
      <c r="C368" s="84" t="s">
        <v>95</v>
      </c>
      <c r="D368" s="82" t="s">
        <v>94</v>
      </c>
      <c r="E368" s="83">
        <v>6943</v>
      </c>
      <c r="F368" s="83" t="s">
        <v>16</v>
      </c>
      <c r="G368" s="83" t="s">
        <v>31</v>
      </c>
      <c r="H368" s="83" t="s">
        <v>14</v>
      </c>
      <c r="I368" s="83" t="s">
        <v>21</v>
      </c>
      <c r="J368" s="83">
        <v>45</v>
      </c>
      <c r="K368" s="84"/>
      <c r="L368" s="83" t="s">
        <v>26</v>
      </c>
      <c r="M368" s="83" t="s">
        <v>88</v>
      </c>
      <c r="N368" s="85">
        <v>45940</v>
      </c>
      <c r="O368" s="86" t="s">
        <v>25</v>
      </c>
      <c r="P368" s="85" t="s">
        <v>20</v>
      </c>
      <c r="Q368" s="91">
        <v>972259154</v>
      </c>
      <c r="R368" s="87"/>
      <c r="S368" s="30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</row>
    <row r="369" spans="2:37" ht="16.2" x14ac:dyDescent="0.3">
      <c r="B369" s="80">
        <v>361</v>
      </c>
      <c r="C369" s="84" t="s">
        <v>95</v>
      </c>
      <c r="D369" s="82" t="s">
        <v>94</v>
      </c>
      <c r="E369" s="83">
        <v>6944</v>
      </c>
      <c r="F369" s="83" t="s">
        <v>16</v>
      </c>
      <c r="G369" s="84" t="s">
        <v>31</v>
      </c>
      <c r="H369" s="83" t="s">
        <v>14</v>
      </c>
      <c r="I369" s="83" t="s">
        <v>93</v>
      </c>
      <c r="J369" s="83">
        <v>45</v>
      </c>
      <c r="K369" s="84"/>
      <c r="L369" s="83" t="s">
        <v>26</v>
      </c>
      <c r="M369" s="83" t="s">
        <v>88</v>
      </c>
      <c r="N369" s="85">
        <v>45940</v>
      </c>
      <c r="O369" s="86" t="s">
        <v>25</v>
      </c>
      <c r="P369" s="85" t="s">
        <v>20</v>
      </c>
      <c r="Q369" s="91">
        <v>972259154</v>
      </c>
      <c r="R369" s="87"/>
      <c r="S369" s="30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</row>
    <row r="370" spans="2:37" ht="16.2" x14ac:dyDescent="0.3">
      <c r="B370" s="80">
        <v>362</v>
      </c>
      <c r="C370" s="84" t="s">
        <v>92</v>
      </c>
      <c r="D370" s="82" t="s">
        <v>91</v>
      </c>
      <c r="E370" s="83">
        <v>6953</v>
      </c>
      <c r="F370" s="83" t="s">
        <v>16</v>
      </c>
      <c r="G370" s="83" t="s">
        <v>31</v>
      </c>
      <c r="H370" s="83" t="s">
        <v>14</v>
      </c>
      <c r="I370" s="83" t="s">
        <v>19</v>
      </c>
      <c r="J370" s="83">
        <v>45</v>
      </c>
      <c r="K370" s="84"/>
      <c r="L370" s="83" t="s">
        <v>26</v>
      </c>
      <c r="M370" s="83" t="s">
        <v>88</v>
      </c>
      <c r="N370" s="85">
        <v>45940</v>
      </c>
      <c r="O370" s="86" t="s">
        <v>25</v>
      </c>
      <c r="P370" s="85" t="s">
        <v>20</v>
      </c>
      <c r="Q370" s="91"/>
      <c r="R370" s="87"/>
      <c r="S370" s="30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</row>
    <row r="371" spans="2:37" ht="16.2" x14ac:dyDescent="0.3">
      <c r="B371" s="80">
        <v>363</v>
      </c>
      <c r="C371" s="84" t="s">
        <v>92</v>
      </c>
      <c r="D371" s="82" t="s">
        <v>91</v>
      </c>
      <c r="E371" s="83">
        <v>6954</v>
      </c>
      <c r="F371" s="83" t="s">
        <v>16</v>
      </c>
      <c r="G371" s="83" t="s">
        <v>31</v>
      </c>
      <c r="H371" s="83" t="s">
        <v>14</v>
      </c>
      <c r="I371" s="83" t="s">
        <v>13</v>
      </c>
      <c r="J371" s="83">
        <v>45</v>
      </c>
      <c r="K371" s="84"/>
      <c r="L371" s="83" t="s">
        <v>26</v>
      </c>
      <c r="M371" s="83" t="s">
        <v>88</v>
      </c>
      <c r="N371" s="85">
        <v>45940</v>
      </c>
      <c r="O371" s="86" t="s">
        <v>25</v>
      </c>
      <c r="P371" s="85" t="s">
        <v>20</v>
      </c>
      <c r="Q371" s="91"/>
      <c r="R371" s="87"/>
      <c r="S371" s="30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</row>
    <row r="372" spans="2:37" ht="16.2" x14ac:dyDescent="0.3">
      <c r="B372" s="80">
        <v>364</v>
      </c>
      <c r="C372" s="84" t="s">
        <v>90</v>
      </c>
      <c r="D372" s="82" t="s">
        <v>89</v>
      </c>
      <c r="E372" s="83">
        <v>6956</v>
      </c>
      <c r="F372" s="83" t="s">
        <v>28</v>
      </c>
      <c r="G372" s="83" t="s">
        <v>31</v>
      </c>
      <c r="H372" s="83" t="s">
        <v>14</v>
      </c>
      <c r="I372" s="83" t="s">
        <v>19</v>
      </c>
      <c r="J372" s="83">
        <v>45</v>
      </c>
      <c r="K372" s="84"/>
      <c r="L372" s="83" t="s">
        <v>26</v>
      </c>
      <c r="M372" s="83" t="s">
        <v>88</v>
      </c>
      <c r="N372" s="85">
        <v>45940</v>
      </c>
      <c r="O372" s="86" t="s">
        <v>25</v>
      </c>
      <c r="P372" s="85" t="s">
        <v>20</v>
      </c>
      <c r="Q372" s="91">
        <v>856123811</v>
      </c>
      <c r="R372" s="87"/>
      <c r="S372" s="30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</row>
    <row r="373" spans="2:37" ht="16.2" x14ac:dyDescent="0.3">
      <c r="B373" s="80">
        <v>365</v>
      </c>
      <c r="C373" s="84" t="s">
        <v>87</v>
      </c>
      <c r="D373" s="82" t="s">
        <v>86</v>
      </c>
      <c r="E373" s="83">
        <v>6682</v>
      </c>
      <c r="F373" s="83" t="s">
        <v>16</v>
      </c>
      <c r="G373" s="83" t="s">
        <v>15</v>
      </c>
      <c r="H373" s="83" t="s">
        <v>14</v>
      </c>
      <c r="I373" s="83" t="s">
        <v>56</v>
      </c>
      <c r="J373" s="83">
        <v>30</v>
      </c>
      <c r="K373" s="84"/>
      <c r="L373" s="83" t="s">
        <v>26</v>
      </c>
      <c r="M373" s="83" t="s">
        <v>60</v>
      </c>
      <c r="N373" s="85">
        <v>45936</v>
      </c>
      <c r="O373" s="86" t="s">
        <v>10</v>
      </c>
      <c r="P373" s="85" t="s">
        <v>9</v>
      </c>
      <c r="Q373" s="91"/>
      <c r="R373" s="87"/>
      <c r="S373" s="30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</row>
    <row r="374" spans="2:37" ht="16.2" x14ac:dyDescent="0.3">
      <c r="B374" s="80">
        <v>366</v>
      </c>
      <c r="C374" s="84" t="s">
        <v>85</v>
      </c>
      <c r="D374" s="82" t="s">
        <v>84</v>
      </c>
      <c r="E374" s="83">
        <v>6604</v>
      </c>
      <c r="F374" s="83" t="s">
        <v>28</v>
      </c>
      <c r="G374" s="83" t="s">
        <v>83</v>
      </c>
      <c r="H374" s="83" t="s">
        <v>14</v>
      </c>
      <c r="I374" s="83" t="s">
        <v>19</v>
      </c>
      <c r="J374" s="83">
        <v>40</v>
      </c>
      <c r="K374" s="84"/>
      <c r="L374" s="83" t="s">
        <v>26</v>
      </c>
      <c r="M374" s="83" t="s">
        <v>11</v>
      </c>
      <c r="N374" s="85">
        <v>45931</v>
      </c>
      <c r="O374" s="86" t="s">
        <v>10</v>
      </c>
      <c r="P374" s="85" t="s">
        <v>9</v>
      </c>
      <c r="Q374" s="91">
        <v>990262434</v>
      </c>
      <c r="R374" s="87"/>
      <c r="S374" s="30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</row>
    <row r="375" spans="2:37" ht="16.2" x14ac:dyDescent="0.3">
      <c r="B375" s="80">
        <v>367</v>
      </c>
      <c r="C375" s="84" t="s">
        <v>82</v>
      </c>
      <c r="D375" s="82" t="s">
        <v>81</v>
      </c>
      <c r="E375" s="83">
        <v>6612</v>
      </c>
      <c r="F375" s="83" t="s">
        <v>16</v>
      </c>
      <c r="G375" s="83" t="s">
        <v>80</v>
      </c>
      <c r="H375" s="83" t="s">
        <v>14</v>
      </c>
      <c r="I375" s="83" t="s">
        <v>19</v>
      </c>
      <c r="J375" s="83">
        <v>40</v>
      </c>
      <c r="K375" s="84"/>
      <c r="L375" s="83" t="s">
        <v>26</v>
      </c>
      <c r="M375" s="83" t="s">
        <v>11</v>
      </c>
      <c r="N375" s="85">
        <v>45931</v>
      </c>
      <c r="O375" s="86" t="s">
        <v>10</v>
      </c>
      <c r="P375" s="85" t="s">
        <v>9</v>
      </c>
      <c r="Q375" s="91">
        <v>990095123</v>
      </c>
      <c r="R375" s="87"/>
      <c r="S375" s="30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</row>
    <row r="376" spans="2:37" ht="16.2" x14ac:dyDescent="0.3">
      <c r="B376" s="80">
        <v>368</v>
      </c>
      <c r="C376" s="84" t="s">
        <v>82</v>
      </c>
      <c r="D376" s="82" t="s">
        <v>81</v>
      </c>
      <c r="E376" s="83">
        <v>6613</v>
      </c>
      <c r="F376" s="83" t="s">
        <v>16</v>
      </c>
      <c r="G376" s="83" t="s">
        <v>80</v>
      </c>
      <c r="H376" s="83" t="s">
        <v>14</v>
      </c>
      <c r="I376" s="83" t="s">
        <v>21</v>
      </c>
      <c r="J376" s="83">
        <v>40</v>
      </c>
      <c r="K376" s="84"/>
      <c r="L376" s="83" t="s">
        <v>26</v>
      </c>
      <c r="M376" s="83" t="s">
        <v>11</v>
      </c>
      <c r="N376" s="85">
        <v>45931</v>
      </c>
      <c r="O376" s="86" t="s">
        <v>10</v>
      </c>
      <c r="P376" s="85" t="s">
        <v>9</v>
      </c>
      <c r="Q376" s="91">
        <v>990095123</v>
      </c>
      <c r="R376" s="87"/>
      <c r="S376" s="30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</row>
    <row r="377" spans="2:37" ht="16.2" x14ac:dyDescent="0.3">
      <c r="B377" s="80">
        <v>369</v>
      </c>
      <c r="C377" s="84" t="s">
        <v>82</v>
      </c>
      <c r="D377" s="82" t="s">
        <v>81</v>
      </c>
      <c r="E377" s="83">
        <v>6614</v>
      </c>
      <c r="F377" s="83" t="s">
        <v>16</v>
      </c>
      <c r="G377" s="83" t="s">
        <v>80</v>
      </c>
      <c r="H377" s="83" t="s">
        <v>14</v>
      </c>
      <c r="I377" s="83" t="s">
        <v>13</v>
      </c>
      <c r="J377" s="83">
        <v>40</v>
      </c>
      <c r="K377" s="84"/>
      <c r="L377" s="83" t="s">
        <v>26</v>
      </c>
      <c r="M377" s="83" t="s">
        <v>11</v>
      </c>
      <c r="N377" s="85">
        <v>45931</v>
      </c>
      <c r="O377" s="86" t="s">
        <v>10</v>
      </c>
      <c r="P377" s="85" t="s">
        <v>9</v>
      </c>
      <c r="Q377" s="91">
        <v>990095123</v>
      </c>
      <c r="R377" s="87"/>
      <c r="S377" s="30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</row>
    <row r="378" spans="2:37" ht="16.2" x14ac:dyDescent="0.3">
      <c r="B378" s="80">
        <v>370</v>
      </c>
      <c r="C378" s="84" t="s">
        <v>79</v>
      </c>
      <c r="D378" s="82" t="s">
        <v>78</v>
      </c>
      <c r="E378" s="83">
        <v>6622</v>
      </c>
      <c r="F378" s="83" t="s">
        <v>16</v>
      </c>
      <c r="G378" s="83" t="s">
        <v>77</v>
      </c>
      <c r="H378" s="83" t="s">
        <v>14</v>
      </c>
      <c r="I378" s="83" t="s">
        <v>19</v>
      </c>
      <c r="J378" s="83">
        <v>40</v>
      </c>
      <c r="K378" s="84"/>
      <c r="L378" s="83" t="s">
        <v>26</v>
      </c>
      <c r="M378" s="83" t="s">
        <v>11</v>
      </c>
      <c r="N378" s="85">
        <v>45931</v>
      </c>
      <c r="O378" s="86" t="s">
        <v>10</v>
      </c>
      <c r="P378" s="85" t="s">
        <v>0</v>
      </c>
      <c r="Q378" s="91"/>
      <c r="R378" s="87"/>
      <c r="S378" s="30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</row>
    <row r="379" spans="2:37" ht="16.2" x14ac:dyDescent="0.3">
      <c r="B379" s="80">
        <v>371</v>
      </c>
      <c r="C379" s="84" t="s">
        <v>76</v>
      </c>
      <c r="D379" s="82" t="s">
        <v>75</v>
      </c>
      <c r="E379" s="83">
        <v>6639</v>
      </c>
      <c r="F379" s="83" t="s">
        <v>16</v>
      </c>
      <c r="G379" s="84" t="s">
        <v>31</v>
      </c>
      <c r="H379" s="83" t="s">
        <v>14</v>
      </c>
      <c r="I379" s="83" t="s">
        <v>19</v>
      </c>
      <c r="J379" s="83">
        <v>45</v>
      </c>
      <c r="K379" s="84"/>
      <c r="L379" s="83" t="s">
        <v>26</v>
      </c>
      <c r="M379" s="83" t="s">
        <v>11</v>
      </c>
      <c r="N379" s="85">
        <v>45932</v>
      </c>
      <c r="O379" s="86" t="s">
        <v>25</v>
      </c>
      <c r="P379" s="85" t="s">
        <v>20</v>
      </c>
      <c r="Q379" s="91">
        <v>978174447</v>
      </c>
      <c r="R379" s="87"/>
      <c r="S379" s="30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</row>
    <row r="380" spans="2:37" ht="16.2" x14ac:dyDescent="0.3">
      <c r="B380" s="80">
        <v>372</v>
      </c>
      <c r="C380" s="84" t="s">
        <v>74</v>
      </c>
      <c r="D380" s="82" t="s">
        <v>73</v>
      </c>
      <c r="E380" s="83">
        <v>6719</v>
      </c>
      <c r="F380" s="83" t="s">
        <v>16</v>
      </c>
      <c r="G380" s="83" t="s">
        <v>72</v>
      </c>
      <c r="H380" s="83"/>
      <c r="I380" s="83" t="s">
        <v>71</v>
      </c>
      <c r="J380" s="83">
        <v>55</v>
      </c>
      <c r="K380" s="84"/>
      <c r="L380" s="83" t="s">
        <v>26</v>
      </c>
      <c r="M380" s="83" t="s">
        <v>60</v>
      </c>
      <c r="N380" s="85">
        <v>45936</v>
      </c>
      <c r="O380" s="86" t="s">
        <v>25</v>
      </c>
      <c r="P380" s="85" t="s">
        <v>20</v>
      </c>
      <c r="Q380" s="91"/>
      <c r="R380" s="87"/>
      <c r="S380" s="30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</row>
    <row r="381" spans="2:37" ht="16.2" x14ac:dyDescent="0.3">
      <c r="B381" s="80">
        <v>373</v>
      </c>
      <c r="C381" s="84" t="s">
        <v>70</v>
      </c>
      <c r="D381" s="82" t="s">
        <v>69</v>
      </c>
      <c r="E381" s="83">
        <v>6757</v>
      </c>
      <c r="F381" s="83" t="s">
        <v>28</v>
      </c>
      <c r="G381" s="83" t="s">
        <v>68</v>
      </c>
      <c r="H381" s="83" t="s">
        <v>14</v>
      </c>
      <c r="I381" s="83" t="s">
        <v>19</v>
      </c>
      <c r="J381" s="83">
        <v>55</v>
      </c>
      <c r="K381" s="84"/>
      <c r="L381" s="83" t="s">
        <v>26</v>
      </c>
      <c r="M381" s="83" t="s">
        <v>60</v>
      </c>
      <c r="N381" s="85">
        <v>45936</v>
      </c>
      <c r="O381" s="86" t="s">
        <v>25</v>
      </c>
      <c r="P381" s="85" t="s">
        <v>20</v>
      </c>
      <c r="Q381" s="91"/>
      <c r="R381" s="87"/>
      <c r="S381" s="30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</row>
    <row r="382" spans="2:37" ht="16.2" x14ac:dyDescent="0.3">
      <c r="B382" s="80">
        <v>374</v>
      </c>
      <c r="C382" s="84" t="s">
        <v>67</v>
      </c>
      <c r="D382" s="82" t="s">
        <v>66</v>
      </c>
      <c r="E382" s="83">
        <v>6773</v>
      </c>
      <c r="F382" s="84" t="s">
        <v>28</v>
      </c>
      <c r="G382" s="84" t="s">
        <v>65</v>
      </c>
      <c r="H382" s="84" t="s">
        <v>14</v>
      </c>
      <c r="I382" s="84" t="s">
        <v>19</v>
      </c>
      <c r="J382" s="84">
        <v>45</v>
      </c>
      <c r="K382" s="84"/>
      <c r="L382" s="84" t="s">
        <v>26</v>
      </c>
      <c r="M382" s="84" t="s">
        <v>60</v>
      </c>
      <c r="N382" s="85">
        <v>45936</v>
      </c>
      <c r="O382" s="86" t="s">
        <v>25</v>
      </c>
      <c r="P382" s="97" t="s">
        <v>20</v>
      </c>
      <c r="Q382" s="91">
        <v>896096773</v>
      </c>
      <c r="R382" s="91"/>
      <c r="S382" s="30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</row>
    <row r="383" spans="2:37" ht="16.2" x14ac:dyDescent="0.3">
      <c r="B383" s="80">
        <v>375</v>
      </c>
      <c r="C383" s="84" t="s">
        <v>64</v>
      </c>
      <c r="D383" s="82" t="s">
        <v>63</v>
      </c>
      <c r="E383" s="83">
        <v>6775</v>
      </c>
      <c r="F383" s="83" t="s">
        <v>16</v>
      </c>
      <c r="G383" s="83" t="s">
        <v>15</v>
      </c>
      <c r="H383" s="83" t="s">
        <v>14</v>
      </c>
      <c r="I383" s="83" t="s">
        <v>19</v>
      </c>
      <c r="J383" s="83">
        <v>40</v>
      </c>
      <c r="K383" s="84"/>
      <c r="L383" s="83" t="s">
        <v>26</v>
      </c>
      <c r="M383" s="83" t="s">
        <v>60</v>
      </c>
      <c r="N383" s="85">
        <v>45936</v>
      </c>
      <c r="O383" s="86" t="s">
        <v>10</v>
      </c>
      <c r="P383" s="85" t="s">
        <v>9</v>
      </c>
      <c r="Q383" s="91"/>
      <c r="R383" s="87"/>
      <c r="S383" s="30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</row>
    <row r="384" spans="2:37" ht="16.2" x14ac:dyDescent="0.3">
      <c r="B384" s="80">
        <v>376</v>
      </c>
      <c r="C384" s="84" t="s">
        <v>62</v>
      </c>
      <c r="D384" s="82" t="s">
        <v>61</v>
      </c>
      <c r="E384" s="83">
        <v>6781</v>
      </c>
      <c r="F384" s="83" t="s">
        <v>28</v>
      </c>
      <c r="G384" s="83" t="s">
        <v>27</v>
      </c>
      <c r="H384" s="83" t="s">
        <v>14</v>
      </c>
      <c r="I384" s="83" t="s">
        <v>19</v>
      </c>
      <c r="J384" s="83">
        <v>55</v>
      </c>
      <c r="K384" s="84"/>
      <c r="L384" s="83" t="s">
        <v>26</v>
      </c>
      <c r="M384" s="83" t="s">
        <v>60</v>
      </c>
      <c r="N384" s="85">
        <v>45936</v>
      </c>
      <c r="O384" s="86" t="s">
        <v>25</v>
      </c>
      <c r="P384" s="85" t="s">
        <v>20</v>
      </c>
      <c r="Q384" s="91">
        <v>990134571</v>
      </c>
      <c r="R384" s="87"/>
      <c r="S384" s="30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</row>
    <row r="385" spans="2:37" ht="16.2" x14ac:dyDescent="0.3">
      <c r="B385" s="80">
        <v>377</v>
      </c>
      <c r="C385" s="84" t="s">
        <v>59</v>
      </c>
      <c r="D385" s="82" t="s">
        <v>58</v>
      </c>
      <c r="E385" s="83">
        <v>6811</v>
      </c>
      <c r="F385" s="83" t="s">
        <v>28</v>
      </c>
      <c r="G385" s="83" t="s">
        <v>57</v>
      </c>
      <c r="H385" s="83" t="s">
        <v>14</v>
      </c>
      <c r="I385" s="83" t="s">
        <v>56</v>
      </c>
      <c r="J385" s="83">
        <v>30</v>
      </c>
      <c r="K385" s="84"/>
      <c r="L385" s="88" t="s">
        <v>26</v>
      </c>
      <c r="M385" s="83" t="s">
        <v>49</v>
      </c>
      <c r="N385" s="85">
        <v>45937</v>
      </c>
      <c r="O385" s="86" t="s">
        <v>25</v>
      </c>
      <c r="P385" s="85" t="s">
        <v>20</v>
      </c>
      <c r="Q385" s="91"/>
      <c r="R385" s="87"/>
      <c r="S385" s="30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</row>
    <row r="386" spans="2:37" ht="16.2" x14ac:dyDescent="0.3">
      <c r="B386" s="80">
        <v>378</v>
      </c>
      <c r="C386" s="84" t="s">
        <v>55</v>
      </c>
      <c r="D386" s="82" t="s">
        <v>54</v>
      </c>
      <c r="E386" s="83">
        <v>6819</v>
      </c>
      <c r="F386" s="83" t="s">
        <v>16</v>
      </c>
      <c r="G386" s="84" t="s">
        <v>53</v>
      </c>
      <c r="H386" s="83" t="s">
        <v>14</v>
      </c>
      <c r="I386" s="83" t="s">
        <v>19</v>
      </c>
      <c r="J386" s="83">
        <v>45</v>
      </c>
      <c r="K386" s="84"/>
      <c r="L386" s="83" t="s">
        <v>26</v>
      </c>
      <c r="M386" s="83" t="s">
        <v>49</v>
      </c>
      <c r="N386" s="85">
        <v>45937</v>
      </c>
      <c r="O386" s="86" t="s">
        <v>10</v>
      </c>
      <c r="P386" s="85" t="s">
        <v>20</v>
      </c>
      <c r="Q386" s="91">
        <v>994481973</v>
      </c>
      <c r="R386" s="87"/>
      <c r="S386" s="30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</row>
    <row r="387" spans="2:37" ht="16.2" x14ac:dyDescent="0.3">
      <c r="B387" s="80">
        <v>379</v>
      </c>
      <c r="C387" s="84" t="s">
        <v>52</v>
      </c>
      <c r="D387" s="82" t="s">
        <v>51</v>
      </c>
      <c r="E387" s="83">
        <v>6827</v>
      </c>
      <c r="F387" s="83" t="s">
        <v>16</v>
      </c>
      <c r="G387" s="83" t="s">
        <v>50</v>
      </c>
      <c r="H387" s="83" t="s">
        <v>14</v>
      </c>
      <c r="I387" s="83" t="s">
        <v>19</v>
      </c>
      <c r="J387" s="83">
        <v>40</v>
      </c>
      <c r="K387" s="84"/>
      <c r="L387" s="83" t="s">
        <v>26</v>
      </c>
      <c r="M387" s="83" t="s">
        <v>49</v>
      </c>
      <c r="N387" s="85">
        <v>45937</v>
      </c>
      <c r="O387" s="86" t="s">
        <v>10</v>
      </c>
      <c r="P387" s="85" t="s">
        <v>9</v>
      </c>
      <c r="Q387" s="91">
        <v>973642116</v>
      </c>
      <c r="R387" s="87"/>
      <c r="S387" s="30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</row>
    <row r="388" spans="2:37" ht="16.2" x14ac:dyDescent="0.3">
      <c r="B388" s="80">
        <v>380</v>
      </c>
      <c r="C388" s="84" t="s">
        <v>48</v>
      </c>
      <c r="D388" s="82" t="s">
        <v>47</v>
      </c>
      <c r="E388" s="83">
        <v>6835</v>
      </c>
      <c r="F388" s="83" t="s">
        <v>28</v>
      </c>
      <c r="G388" s="83" t="s">
        <v>46</v>
      </c>
      <c r="H388" s="83" t="s">
        <v>14</v>
      </c>
      <c r="I388" s="83" t="s">
        <v>19</v>
      </c>
      <c r="J388" s="83">
        <v>35</v>
      </c>
      <c r="K388" s="84"/>
      <c r="L388" s="83" t="s">
        <v>26</v>
      </c>
      <c r="M388" s="83" t="s">
        <v>11</v>
      </c>
      <c r="N388" s="85">
        <v>45938</v>
      </c>
      <c r="O388" s="86" t="s">
        <v>10</v>
      </c>
      <c r="P388" s="85" t="s">
        <v>0</v>
      </c>
      <c r="Q388" s="91" t="s">
        <v>45</v>
      </c>
      <c r="R388" s="87"/>
      <c r="S388" s="30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</row>
    <row r="389" spans="2:37" ht="16.2" x14ac:dyDescent="0.3">
      <c r="B389" s="80">
        <v>381</v>
      </c>
      <c r="C389" s="84" t="s">
        <v>44</v>
      </c>
      <c r="D389" s="82" t="s">
        <v>43</v>
      </c>
      <c r="E389" s="83">
        <v>6844</v>
      </c>
      <c r="F389" s="83" t="s">
        <v>16</v>
      </c>
      <c r="G389" s="83" t="s">
        <v>22</v>
      </c>
      <c r="H389" s="83" t="s">
        <v>14</v>
      </c>
      <c r="I389" s="83" t="s">
        <v>19</v>
      </c>
      <c r="J389" s="83">
        <v>45</v>
      </c>
      <c r="K389" s="84"/>
      <c r="L389" s="83" t="s">
        <v>26</v>
      </c>
      <c r="M389" s="83" t="s">
        <v>11</v>
      </c>
      <c r="N389" s="85">
        <v>45938</v>
      </c>
      <c r="O389" s="86" t="s">
        <v>10</v>
      </c>
      <c r="P389" s="85" t="s">
        <v>20</v>
      </c>
      <c r="Q389" s="91"/>
      <c r="R389" s="87"/>
      <c r="S389" s="30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</row>
    <row r="390" spans="2:37" ht="16.2" x14ac:dyDescent="0.3">
      <c r="B390" s="80">
        <v>382</v>
      </c>
      <c r="C390" s="84" t="s">
        <v>42</v>
      </c>
      <c r="D390" s="82" t="s">
        <v>41</v>
      </c>
      <c r="E390" s="83">
        <v>6848</v>
      </c>
      <c r="F390" s="83" t="s">
        <v>28</v>
      </c>
      <c r="G390" s="83" t="s">
        <v>40</v>
      </c>
      <c r="H390" s="83" t="s">
        <v>14</v>
      </c>
      <c r="I390" s="83" t="s">
        <v>19</v>
      </c>
      <c r="J390" s="83">
        <v>40</v>
      </c>
      <c r="K390" s="84"/>
      <c r="L390" s="83" t="s">
        <v>26</v>
      </c>
      <c r="M390" s="83" t="s">
        <v>11</v>
      </c>
      <c r="N390" s="85">
        <v>45938</v>
      </c>
      <c r="O390" s="86" t="s">
        <v>10</v>
      </c>
      <c r="P390" s="85" t="s">
        <v>0</v>
      </c>
      <c r="Q390" s="91">
        <v>975557239</v>
      </c>
      <c r="R390" s="87"/>
      <c r="S390" s="30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</row>
    <row r="391" spans="2:37" ht="16.2" customHeight="1" x14ac:dyDescent="0.3">
      <c r="B391" s="80">
        <v>383</v>
      </c>
      <c r="C391" s="84" t="s">
        <v>39</v>
      </c>
      <c r="D391" s="82" t="s">
        <v>38</v>
      </c>
      <c r="E391" s="83">
        <v>6850</v>
      </c>
      <c r="F391" s="83" t="s">
        <v>28</v>
      </c>
      <c r="G391" s="83" t="s">
        <v>37</v>
      </c>
      <c r="H391" s="83" t="s">
        <v>14</v>
      </c>
      <c r="I391" s="83" t="s">
        <v>19</v>
      </c>
      <c r="J391" s="83">
        <v>45</v>
      </c>
      <c r="K391" s="84"/>
      <c r="L391" s="83" t="s">
        <v>26</v>
      </c>
      <c r="M391" s="83" t="s">
        <v>11</v>
      </c>
      <c r="N391" s="85">
        <v>45938</v>
      </c>
      <c r="O391" s="86" t="s">
        <v>10</v>
      </c>
      <c r="P391" s="85" t="s">
        <v>20</v>
      </c>
      <c r="Q391" s="91">
        <v>990652644</v>
      </c>
      <c r="R391" s="87"/>
      <c r="S391" s="30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</row>
    <row r="392" spans="2:37" ht="16.2" customHeight="1" x14ac:dyDescent="0.3">
      <c r="B392" s="80">
        <v>384</v>
      </c>
      <c r="C392" s="84" t="s">
        <v>36</v>
      </c>
      <c r="D392" s="82" t="s">
        <v>35</v>
      </c>
      <c r="E392" s="83">
        <v>6852</v>
      </c>
      <c r="F392" s="83" t="s">
        <v>28</v>
      </c>
      <c r="G392" s="83" t="s">
        <v>34</v>
      </c>
      <c r="H392" s="83" t="s">
        <v>14</v>
      </c>
      <c r="I392" s="83" t="s">
        <v>19</v>
      </c>
      <c r="J392" s="83">
        <v>55</v>
      </c>
      <c r="K392" s="84"/>
      <c r="L392" s="83" t="s">
        <v>26</v>
      </c>
      <c r="M392" s="83" t="s">
        <v>11</v>
      </c>
      <c r="N392" s="85">
        <v>45938</v>
      </c>
      <c r="O392" s="86" t="s">
        <v>10</v>
      </c>
      <c r="P392" s="85" t="s">
        <v>20</v>
      </c>
      <c r="Q392" s="91">
        <v>973339729</v>
      </c>
      <c r="R392" s="87"/>
      <c r="S392" s="30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</row>
    <row r="393" spans="2:37" ht="16.2" x14ac:dyDescent="0.3">
      <c r="B393" s="80">
        <v>385</v>
      </c>
      <c r="C393" s="84" t="s">
        <v>33</v>
      </c>
      <c r="D393" s="82" t="s">
        <v>32</v>
      </c>
      <c r="E393" s="83">
        <v>6859</v>
      </c>
      <c r="F393" s="83" t="s">
        <v>16</v>
      </c>
      <c r="G393" s="83" t="s">
        <v>31</v>
      </c>
      <c r="H393" s="83" t="s">
        <v>14</v>
      </c>
      <c r="I393" s="83" t="s">
        <v>19</v>
      </c>
      <c r="J393" s="83">
        <v>45</v>
      </c>
      <c r="K393" s="84"/>
      <c r="L393" s="83" t="s">
        <v>26</v>
      </c>
      <c r="M393" s="83" t="s">
        <v>11</v>
      </c>
      <c r="N393" s="85">
        <v>45938</v>
      </c>
      <c r="O393" s="86" t="s">
        <v>10</v>
      </c>
      <c r="P393" s="85" t="s">
        <v>20</v>
      </c>
      <c r="Q393" s="91">
        <v>897956248</v>
      </c>
      <c r="R393" s="87"/>
      <c r="S393" s="30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</row>
    <row r="394" spans="2:37" ht="16.2" x14ac:dyDescent="0.3">
      <c r="B394" s="80">
        <v>386</v>
      </c>
      <c r="C394" s="81" t="s">
        <v>30</v>
      </c>
      <c r="D394" s="82" t="s">
        <v>29</v>
      </c>
      <c r="E394" s="83">
        <v>6871</v>
      </c>
      <c r="F394" s="83" t="s">
        <v>28</v>
      </c>
      <c r="G394" s="83" t="s">
        <v>27</v>
      </c>
      <c r="H394" s="83" t="s">
        <v>14</v>
      </c>
      <c r="I394" s="83" t="s">
        <v>19</v>
      </c>
      <c r="J394" s="83">
        <v>55</v>
      </c>
      <c r="K394" s="84"/>
      <c r="L394" s="83" t="s">
        <v>26</v>
      </c>
      <c r="M394" s="83" t="s">
        <v>11</v>
      </c>
      <c r="N394" s="85">
        <v>45938</v>
      </c>
      <c r="O394" s="86" t="s">
        <v>25</v>
      </c>
      <c r="P394" s="85" t="s">
        <v>20</v>
      </c>
      <c r="Q394" s="91">
        <v>992051504</v>
      </c>
      <c r="R394" s="87"/>
      <c r="S394" s="30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</row>
    <row r="395" spans="2:37" ht="16.2" x14ac:dyDescent="0.3">
      <c r="B395" s="80">
        <v>387</v>
      </c>
      <c r="C395" s="84" t="s">
        <v>24</v>
      </c>
      <c r="D395" s="82" t="s">
        <v>23</v>
      </c>
      <c r="E395" s="83">
        <v>6883</v>
      </c>
      <c r="F395" s="83" t="s">
        <v>16</v>
      </c>
      <c r="G395" s="83" t="s">
        <v>22</v>
      </c>
      <c r="H395" s="83" t="s">
        <v>14</v>
      </c>
      <c r="I395" s="83" t="s">
        <v>19</v>
      </c>
      <c r="J395" s="83">
        <v>40</v>
      </c>
      <c r="K395" s="84"/>
      <c r="L395" s="83" t="s">
        <v>12</v>
      </c>
      <c r="M395" s="83" t="s">
        <v>11</v>
      </c>
      <c r="N395" s="85">
        <v>45938</v>
      </c>
      <c r="O395" s="86" t="s">
        <v>10</v>
      </c>
      <c r="P395" s="85" t="s">
        <v>20</v>
      </c>
      <c r="Q395" s="91"/>
      <c r="R395" s="87"/>
      <c r="S395" s="30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</row>
    <row r="396" spans="2:37" ht="16.2" x14ac:dyDescent="0.3">
      <c r="B396" s="80">
        <v>388</v>
      </c>
      <c r="C396" s="84" t="s">
        <v>24</v>
      </c>
      <c r="D396" s="82" t="s">
        <v>23</v>
      </c>
      <c r="E396" s="83">
        <v>6885</v>
      </c>
      <c r="F396" s="83" t="s">
        <v>16</v>
      </c>
      <c r="G396" s="83" t="s">
        <v>22</v>
      </c>
      <c r="H396" s="83" t="s">
        <v>14</v>
      </c>
      <c r="I396" s="83" t="s">
        <v>13</v>
      </c>
      <c r="J396" s="83">
        <v>40</v>
      </c>
      <c r="K396" s="84"/>
      <c r="L396" s="83" t="s">
        <v>12</v>
      </c>
      <c r="M396" s="83" t="s">
        <v>11</v>
      </c>
      <c r="N396" s="85">
        <v>45938</v>
      </c>
      <c r="O396" s="86" t="s">
        <v>10</v>
      </c>
      <c r="P396" s="85" t="s">
        <v>20</v>
      </c>
      <c r="Q396" s="91"/>
      <c r="R396" s="87"/>
      <c r="S396" s="30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</row>
    <row r="397" spans="2:37" ht="16.2" x14ac:dyDescent="0.3">
      <c r="B397" s="80">
        <v>389</v>
      </c>
      <c r="C397" s="84" t="s">
        <v>24</v>
      </c>
      <c r="D397" s="82" t="s">
        <v>23</v>
      </c>
      <c r="E397" s="83">
        <v>6886</v>
      </c>
      <c r="F397" s="83" t="s">
        <v>16</v>
      </c>
      <c r="G397" s="83" t="s">
        <v>22</v>
      </c>
      <c r="H397" s="83" t="s">
        <v>14</v>
      </c>
      <c r="I397" s="83" t="s">
        <v>21</v>
      </c>
      <c r="J397" s="83">
        <v>40</v>
      </c>
      <c r="K397" s="84"/>
      <c r="L397" s="83" t="s">
        <v>12</v>
      </c>
      <c r="M397" s="83" t="s">
        <v>11</v>
      </c>
      <c r="N397" s="85">
        <v>45938</v>
      </c>
      <c r="O397" s="86" t="s">
        <v>10</v>
      </c>
      <c r="P397" s="85" t="s">
        <v>20</v>
      </c>
      <c r="Q397" s="91"/>
      <c r="R397" s="87"/>
      <c r="S397" s="30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</row>
    <row r="398" spans="2:37" ht="16.2" x14ac:dyDescent="0.3">
      <c r="B398" s="80">
        <v>390</v>
      </c>
      <c r="C398" s="84" t="s">
        <v>18</v>
      </c>
      <c r="D398" s="82" t="s">
        <v>17</v>
      </c>
      <c r="E398" s="83">
        <v>6884</v>
      </c>
      <c r="F398" s="83" t="s">
        <v>16</v>
      </c>
      <c r="G398" s="83" t="s">
        <v>15</v>
      </c>
      <c r="H398" s="83" t="s">
        <v>14</v>
      </c>
      <c r="I398" s="83" t="s">
        <v>19</v>
      </c>
      <c r="J398" s="83">
        <v>35</v>
      </c>
      <c r="K398" s="84"/>
      <c r="L398" s="83" t="s">
        <v>12</v>
      </c>
      <c r="M398" s="83" t="s">
        <v>11</v>
      </c>
      <c r="N398" s="85">
        <v>45938</v>
      </c>
      <c r="O398" s="86" t="s">
        <v>10</v>
      </c>
      <c r="P398" s="85" t="s">
        <v>9</v>
      </c>
      <c r="Q398" s="91"/>
      <c r="R398" s="87"/>
      <c r="S398" s="30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</row>
    <row r="399" spans="2:37" ht="16.2" customHeight="1" x14ac:dyDescent="0.3">
      <c r="B399" s="80">
        <v>391</v>
      </c>
      <c r="C399" s="81" t="s">
        <v>18</v>
      </c>
      <c r="D399" s="82" t="s">
        <v>17</v>
      </c>
      <c r="E399" s="83">
        <v>6887</v>
      </c>
      <c r="F399" s="83" t="s">
        <v>16</v>
      </c>
      <c r="G399" s="83" t="s">
        <v>15</v>
      </c>
      <c r="H399" s="83" t="s">
        <v>14</v>
      </c>
      <c r="I399" s="83" t="s">
        <v>13</v>
      </c>
      <c r="J399" s="83">
        <v>35</v>
      </c>
      <c r="K399" s="84"/>
      <c r="L399" s="83" t="s">
        <v>12</v>
      </c>
      <c r="M399" s="83" t="s">
        <v>11</v>
      </c>
      <c r="N399" s="85">
        <v>45938</v>
      </c>
      <c r="O399" s="86" t="s">
        <v>10</v>
      </c>
      <c r="P399" s="85" t="s">
        <v>9</v>
      </c>
      <c r="Q399" s="91"/>
      <c r="R399" s="87"/>
      <c r="S399" s="30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</row>
    <row r="400" spans="2:37" ht="16.2" customHeight="1" x14ac:dyDescent="0.3">
      <c r="B400" s="80">
        <v>392</v>
      </c>
      <c r="C400" s="84" t="s">
        <v>844</v>
      </c>
      <c r="D400" s="82" t="s">
        <v>845</v>
      </c>
      <c r="E400" s="83">
        <v>6989</v>
      </c>
      <c r="F400" s="83" t="s">
        <v>28</v>
      </c>
      <c r="G400" s="83" t="s">
        <v>27</v>
      </c>
      <c r="H400" s="83" t="s">
        <v>14</v>
      </c>
      <c r="I400" s="83" t="s">
        <v>19</v>
      </c>
      <c r="J400" s="83">
        <v>55</v>
      </c>
      <c r="K400" s="84"/>
      <c r="L400" s="83" t="s">
        <v>26</v>
      </c>
      <c r="M400" s="83" t="s">
        <v>60</v>
      </c>
      <c r="N400" s="85">
        <v>45943</v>
      </c>
      <c r="O400" s="86" t="s">
        <v>25</v>
      </c>
      <c r="P400" s="85" t="s">
        <v>20</v>
      </c>
      <c r="Q400" s="91">
        <v>995932124</v>
      </c>
      <c r="R400" s="87"/>
      <c r="S400" s="30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</row>
    <row r="401" spans="2:37" ht="16.2" customHeight="1" x14ac:dyDescent="0.3">
      <c r="B401" s="80">
        <v>393</v>
      </c>
      <c r="C401" s="84" t="s">
        <v>846</v>
      </c>
      <c r="D401" s="82" t="s">
        <v>847</v>
      </c>
      <c r="E401" s="83">
        <v>7501</v>
      </c>
      <c r="F401" s="83" t="s">
        <v>16</v>
      </c>
      <c r="G401" s="83" t="s">
        <v>124</v>
      </c>
      <c r="H401" s="83" t="s">
        <v>14</v>
      </c>
      <c r="I401" s="83" t="s">
        <v>19</v>
      </c>
      <c r="J401" s="83">
        <v>55</v>
      </c>
      <c r="K401" s="84"/>
      <c r="L401" s="83" t="s">
        <v>26</v>
      </c>
      <c r="M401" s="83" t="s">
        <v>60</v>
      </c>
      <c r="N401" s="85">
        <v>45943</v>
      </c>
      <c r="O401" s="86" t="s">
        <v>25</v>
      </c>
      <c r="P401" s="85" t="s">
        <v>20</v>
      </c>
      <c r="Q401" s="91"/>
      <c r="R401" s="87"/>
      <c r="S401" s="30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</row>
    <row r="402" spans="2:37" ht="16.2" x14ac:dyDescent="0.3">
      <c r="B402" s="80">
        <v>394</v>
      </c>
      <c r="C402" s="84" t="s">
        <v>848</v>
      </c>
      <c r="D402" s="82" t="s">
        <v>849</v>
      </c>
      <c r="E402" s="83">
        <v>7508</v>
      </c>
      <c r="F402" s="83" t="s">
        <v>28</v>
      </c>
      <c r="G402" s="83" t="s">
        <v>31</v>
      </c>
      <c r="H402" s="83" t="s">
        <v>14</v>
      </c>
      <c r="I402" s="83" t="s">
        <v>19</v>
      </c>
      <c r="J402" s="83">
        <v>45</v>
      </c>
      <c r="K402" s="84"/>
      <c r="L402" s="83" t="s">
        <v>26</v>
      </c>
      <c r="M402" s="83" t="s">
        <v>60</v>
      </c>
      <c r="N402" s="85">
        <v>45943</v>
      </c>
      <c r="O402" s="86" t="s">
        <v>25</v>
      </c>
      <c r="P402" s="85" t="s">
        <v>20</v>
      </c>
      <c r="Q402" s="91">
        <v>855076200</v>
      </c>
      <c r="R402" s="87"/>
      <c r="S402" s="30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</row>
    <row r="403" spans="2:37" ht="16.2" customHeight="1" x14ac:dyDescent="0.3">
      <c r="B403" s="80">
        <v>395</v>
      </c>
      <c r="C403" s="84" t="s">
        <v>59</v>
      </c>
      <c r="D403" s="82" t="s">
        <v>58</v>
      </c>
      <c r="E403" s="83">
        <v>7504</v>
      </c>
      <c r="F403" s="83" t="s">
        <v>28</v>
      </c>
      <c r="G403" s="83" t="s">
        <v>57</v>
      </c>
      <c r="H403" s="83" t="s">
        <v>14</v>
      </c>
      <c r="I403" s="83" t="s">
        <v>56</v>
      </c>
      <c r="J403" s="83">
        <v>14.42</v>
      </c>
      <c r="K403" s="84"/>
      <c r="L403" s="83" t="s">
        <v>26</v>
      </c>
      <c r="M403" s="83" t="s">
        <v>60</v>
      </c>
      <c r="N403" s="85">
        <v>45943</v>
      </c>
      <c r="O403" s="86" t="s">
        <v>25</v>
      </c>
      <c r="P403" s="85" t="s">
        <v>20</v>
      </c>
      <c r="Q403" s="91"/>
      <c r="R403" s="87"/>
      <c r="S403" s="30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</row>
    <row r="404" spans="2:37" ht="16.2" customHeight="1" x14ac:dyDescent="0.3">
      <c r="B404" s="80">
        <v>396</v>
      </c>
      <c r="C404" s="84" t="s">
        <v>850</v>
      </c>
      <c r="D404" s="82" t="s">
        <v>851</v>
      </c>
      <c r="E404" s="83">
        <v>6822</v>
      </c>
      <c r="F404" s="83" t="s">
        <v>28</v>
      </c>
      <c r="G404" s="83" t="s">
        <v>124</v>
      </c>
      <c r="H404" s="83" t="s">
        <v>14</v>
      </c>
      <c r="I404" s="83" t="s">
        <v>19</v>
      </c>
      <c r="J404" s="83">
        <v>55</v>
      </c>
      <c r="K404" s="84"/>
      <c r="L404" s="83" t="s">
        <v>26</v>
      </c>
      <c r="M404" s="83" t="s">
        <v>49</v>
      </c>
      <c r="N404" s="85">
        <v>45937</v>
      </c>
      <c r="O404" s="86" t="s">
        <v>25</v>
      </c>
      <c r="P404" s="85" t="s">
        <v>20</v>
      </c>
      <c r="Q404" s="91"/>
      <c r="R404" s="87"/>
      <c r="S404" s="30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</row>
    <row r="405" spans="2:37" ht="16.2" customHeight="1" x14ac:dyDescent="0.3">
      <c r="B405" s="80">
        <v>397</v>
      </c>
      <c r="C405" s="84" t="s">
        <v>852</v>
      </c>
      <c r="D405" s="82" t="s">
        <v>853</v>
      </c>
      <c r="E405" s="83">
        <v>6898</v>
      </c>
      <c r="F405" s="83" t="s">
        <v>28</v>
      </c>
      <c r="G405" s="83" t="s">
        <v>27</v>
      </c>
      <c r="H405" s="83" t="s">
        <v>14</v>
      </c>
      <c r="I405" s="83" t="s">
        <v>13</v>
      </c>
      <c r="J405" s="83">
        <v>55</v>
      </c>
      <c r="K405" s="84"/>
      <c r="L405" s="83" t="s">
        <v>26</v>
      </c>
      <c r="M405" s="83" t="s">
        <v>112</v>
      </c>
      <c r="N405" s="85">
        <v>45939</v>
      </c>
      <c r="O405" s="86" t="s">
        <v>25</v>
      </c>
      <c r="P405" s="85" t="s">
        <v>20</v>
      </c>
      <c r="Q405" s="91"/>
      <c r="R405" s="87"/>
      <c r="S405" s="30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</row>
    <row r="406" spans="2:37" ht="16.2" x14ac:dyDescent="0.3">
      <c r="B406" s="80">
        <v>398</v>
      </c>
      <c r="C406" s="84" t="s">
        <v>854</v>
      </c>
      <c r="D406" s="82" t="s">
        <v>855</v>
      </c>
      <c r="E406" s="83">
        <v>6907</v>
      </c>
      <c r="F406" s="83" t="s">
        <v>28</v>
      </c>
      <c r="G406" s="83" t="s">
        <v>124</v>
      </c>
      <c r="H406" s="83" t="s">
        <v>14</v>
      </c>
      <c r="I406" s="83" t="s">
        <v>19</v>
      </c>
      <c r="J406" s="83">
        <v>55</v>
      </c>
      <c r="K406" s="84"/>
      <c r="L406" s="83" t="s">
        <v>26</v>
      </c>
      <c r="M406" s="83" t="s">
        <v>112</v>
      </c>
      <c r="N406" s="85">
        <v>45939</v>
      </c>
      <c r="O406" s="86" t="s">
        <v>25</v>
      </c>
      <c r="P406" s="85" t="s">
        <v>20</v>
      </c>
      <c r="Q406" s="91">
        <v>974779917</v>
      </c>
      <c r="R406" s="87"/>
      <c r="S406" s="30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</row>
    <row r="407" spans="2:37" ht="16.2" x14ac:dyDescent="0.3">
      <c r="B407" s="80">
        <v>399</v>
      </c>
      <c r="C407" s="84" t="s">
        <v>856</v>
      </c>
      <c r="D407" s="82" t="s">
        <v>857</v>
      </c>
      <c r="E407" s="83">
        <v>6936</v>
      </c>
      <c r="F407" s="83" t="s">
        <v>16</v>
      </c>
      <c r="G407" s="83" t="s">
        <v>80</v>
      </c>
      <c r="H407" s="83" t="s">
        <v>14</v>
      </c>
      <c r="I407" s="83" t="s">
        <v>19</v>
      </c>
      <c r="J407" s="83">
        <v>40</v>
      </c>
      <c r="K407" s="84"/>
      <c r="L407" s="83" t="s">
        <v>26</v>
      </c>
      <c r="M407" s="83" t="s">
        <v>60</v>
      </c>
      <c r="N407" s="85">
        <v>45939</v>
      </c>
      <c r="O407" s="86" t="s">
        <v>25</v>
      </c>
      <c r="P407" s="85" t="s">
        <v>9</v>
      </c>
      <c r="Q407" s="91"/>
      <c r="R407" s="87"/>
      <c r="S407" s="30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</row>
    <row r="408" spans="2:37" ht="16.5" customHeight="1" x14ac:dyDescent="0.3">
      <c r="B408" s="80">
        <v>400</v>
      </c>
      <c r="C408" s="84" t="s">
        <v>858</v>
      </c>
      <c r="D408" s="82" t="s">
        <v>859</v>
      </c>
      <c r="E408" s="83">
        <v>6937</v>
      </c>
      <c r="F408" s="83" t="s">
        <v>16</v>
      </c>
      <c r="G408" s="83" t="s">
        <v>201</v>
      </c>
      <c r="H408" s="83" t="s">
        <v>14</v>
      </c>
      <c r="I408" s="84" t="s">
        <v>19</v>
      </c>
      <c r="J408" s="83">
        <v>35</v>
      </c>
      <c r="K408" s="84"/>
      <c r="L408" s="83" t="s">
        <v>26</v>
      </c>
      <c r="M408" s="83" t="s">
        <v>112</v>
      </c>
      <c r="N408" s="85">
        <v>45939</v>
      </c>
      <c r="O408" s="86" t="s">
        <v>25</v>
      </c>
      <c r="P408" s="85" t="s">
        <v>9</v>
      </c>
      <c r="Q408" s="91"/>
      <c r="R408" s="87"/>
      <c r="S408" s="30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</row>
    <row r="409" spans="2:37" ht="16.2" customHeight="1" x14ac:dyDescent="0.3">
      <c r="B409" s="80">
        <v>401</v>
      </c>
      <c r="C409" s="84" t="s">
        <v>860</v>
      </c>
      <c r="D409" s="82" t="s">
        <v>861</v>
      </c>
      <c r="E409" s="83">
        <v>6940</v>
      </c>
      <c r="F409" s="83" t="s">
        <v>28</v>
      </c>
      <c r="G409" s="83" t="s">
        <v>27</v>
      </c>
      <c r="H409" s="83" t="s">
        <v>14</v>
      </c>
      <c r="I409" s="83" t="s">
        <v>19</v>
      </c>
      <c r="J409" s="83">
        <v>55</v>
      </c>
      <c r="K409" s="84"/>
      <c r="L409" s="83" t="s">
        <v>26</v>
      </c>
      <c r="M409" s="83" t="s">
        <v>112</v>
      </c>
      <c r="N409" s="85">
        <v>45939</v>
      </c>
      <c r="O409" s="86" t="s">
        <v>25</v>
      </c>
      <c r="P409" s="85" t="s">
        <v>20</v>
      </c>
      <c r="Q409" s="91">
        <v>812237008</v>
      </c>
      <c r="R409" s="87"/>
      <c r="S409" s="30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</row>
    <row r="410" spans="2:37" ht="16.2" x14ac:dyDescent="0.3">
      <c r="B410" s="80">
        <v>402</v>
      </c>
      <c r="C410" s="84" t="s">
        <v>862</v>
      </c>
      <c r="D410" s="82" t="s">
        <v>863</v>
      </c>
      <c r="E410" s="83">
        <v>6766</v>
      </c>
      <c r="F410" s="83" t="s">
        <v>16</v>
      </c>
      <c r="G410" s="83" t="s">
        <v>124</v>
      </c>
      <c r="H410" s="83" t="s">
        <v>14</v>
      </c>
      <c r="I410" s="83" t="s">
        <v>19</v>
      </c>
      <c r="J410" s="83">
        <v>55</v>
      </c>
      <c r="K410" s="84"/>
      <c r="L410" s="83" t="s">
        <v>26</v>
      </c>
      <c r="M410" s="83" t="s">
        <v>60</v>
      </c>
      <c r="N410" s="85">
        <v>45936</v>
      </c>
      <c r="O410" s="86" t="s">
        <v>25</v>
      </c>
      <c r="P410" s="85" t="s">
        <v>20</v>
      </c>
      <c r="Q410" s="91">
        <v>817302077</v>
      </c>
      <c r="R410" s="87"/>
      <c r="S410" s="30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</row>
    <row r="411" spans="2:37" ht="16.2" x14ac:dyDescent="0.3">
      <c r="B411" s="80">
        <v>403</v>
      </c>
      <c r="C411" s="84" t="s">
        <v>864</v>
      </c>
      <c r="D411" s="82" t="s">
        <v>865</v>
      </c>
      <c r="E411" s="83">
        <v>6768</v>
      </c>
      <c r="F411" s="83" t="s">
        <v>16</v>
      </c>
      <c r="G411" s="83" t="s">
        <v>72</v>
      </c>
      <c r="H411" s="83" t="s">
        <v>14</v>
      </c>
      <c r="I411" s="84" t="s">
        <v>19</v>
      </c>
      <c r="J411" s="83">
        <v>55</v>
      </c>
      <c r="K411" s="84"/>
      <c r="L411" s="83" t="s">
        <v>26</v>
      </c>
      <c r="M411" s="83" t="s">
        <v>60</v>
      </c>
      <c r="N411" s="85">
        <v>45936</v>
      </c>
      <c r="O411" s="86" t="s">
        <v>25</v>
      </c>
      <c r="P411" s="85" t="s">
        <v>20</v>
      </c>
      <c r="Q411" s="91">
        <v>997118804</v>
      </c>
      <c r="R411" s="87"/>
      <c r="S411" s="30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</row>
    <row r="412" spans="2:37" ht="16.2" customHeight="1" x14ac:dyDescent="0.3">
      <c r="B412" s="80">
        <v>404</v>
      </c>
      <c r="C412" s="84" t="s">
        <v>866</v>
      </c>
      <c r="D412" s="82" t="s">
        <v>867</v>
      </c>
      <c r="E412" s="83">
        <v>6697</v>
      </c>
      <c r="F412" s="83" t="s">
        <v>28</v>
      </c>
      <c r="G412" s="84" t="s">
        <v>77</v>
      </c>
      <c r="H412" s="83" t="s">
        <v>14</v>
      </c>
      <c r="I412" s="83" t="s">
        <v>19</v>
      </c>
      <c r="J412" s="83">
        <v>40</v>
      </c>
      <c r="K412" s="84"/>
      <c r="L412" s="83" t="s">
        <v>26</v>
      </c>
      <c r="M412" s="83" t="s">
        <v>60</v>
      </c>
      <c r="N412" s="85">
        <v>45936</v>
      </c>
      <c r="O412" s="86" t="s">
        <v>25</v>
      </c>
      <c r="P412" s="85" t="s">
        <v>0</v>
      </c>
      <c r="Q412" s="91">
        <v>996699134</v>
      </c>
      <c r="R412" s="87"/>
      <c r="S412" s="30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</row>
    <row r="413" spans="2:37" ht="16.2" customHeight="1" x14ac:dyDescent="0.3">
      <c r="B413" s="80">
        <v>405</v>
      </c>
      <c r="C413" s="84" t="s">
        <v>868</v>
      </c>
      <c r="D413" s="82" t="s">
        <v>869</v>
      </c>
      <c r="E413" s="83">
        <v>6664</v>
      </c>
      <c r="F413" s="83" t="s">
        <v>28</v>
      </c>
      <c r="G413" s="83" t="s">
        <v>31</v>
      </c>
      <c r="H413" s="83" t="s">
        <v>14</v>
      </c>
      <c r="I413" s="83" t="s">
        <v>56</v>
      </c>
      <c r="J413" s="83">
        <v>22.1</v>
      </c>
      <c r="K413" s="84"/>
      <c r="L413" s="83" t="s">
        <v>26</v>
      </c>
      <c r="M413" s="83" t="s">
        <v>88</v>
      </c>
      <c r="N413" s="85">
        <v>45933</v>
      </c>
      <c r="O413" s="86" t="s">
        <v>25</v>
      </c>
      <c r="P413" s="85" t="s">
        <v>20</v>
      </c>
      <c r="Q413" s="91">
        <v>992816033</v>
      </c>
      <c r="R413" s="87"/>
      <c r="S413" s="30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</row>
    <row r="414" spans="2:37" ht="16.2" customHeight="1" x14ac:dyDescent="0.3">
      <c r="B414" s="80">
        <v>406</v>
      </c>
      <c r="C414" s="84" t="s">
        <v>870</v>
      </c>
      <c r="D414" s="82" t="s">
        <v>871</v>
      </c>
      <c r="E414" s="83">
        <v>7581</v>
      </c>
      <c r="F414" s="83" t="s">
        <v>28</v>
      </c>
      <c r="G414" s="83" t="s">
        <v>97</v>
      </c>
      <c r="H414" s="83" t="s">
        <v>14</v>
      </c>
      <c r="I414" s="83" t="s">
        <v>19</v>
      </c>
      <c r="J414" s="83">
        <v>80</v>
      </c>
      <c r="K414" s="84"/>
      <c r="L414" s="83" t="s">
        <v>12</v>
      </c>
      <c r="M414" s="83" t="s">
        <v>112</v>
      </c>
      <c r="N414" s="85">
        <v>45953</v>
      </c>
      <c r="O414" s="86" t="s">
        <v>25</v>
      </c>
      <c r="P414" s="85" t="s">
        <v>20</v>
      </c>
      <c r="Q414" s="91">
        <v>978555251</v>
      </c>
      <c r="R414" s="87"/>
      <c r="S414" s="30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</row>
    <row r="415" spans="2:37" ht="16.2" x14ac:dyDescent="0.3">
      <c r="B415" s="80">
        <v>407</v>
      </c>
      <c r="C415" s="84" t="s">
        <v>872</v>
      </c>
      <c r="D415" s="82" t="s">
        <v>873</v>
      </c>
      <c r="E415" s="83">
        <v>7582</v>
      </c>
      <c r="F415" s="83" t="s">
        <v>28</v>
      </c>
      <c r="G415" s="83" t="s">
        <v>97</v>
      </c>
      <c r="H415" s="83" t="s">
        <v>14</v>
      </c>
      <c r="I415" s="83" t="s">
        <v>19</v>
      </c>
      <c r="J415" s="83">
        <v>80</v>
      </c>
      <c r="K415" s="84"/>
      <c r="L415" s="83" t="s">
        <v>12</v>
      </c>
      <c r="M415" s="83" t="s">
        <v>112</v>
      </c>
      <c r="N415" s="85">
        <v>45953</v>
      </c>
      <c r="O415" s="86" t="s">
        <v>25</v>
      </c>
      <c r="P415" s="85" t="s">
        <v>20</v>
      </c>
      <c r="Q415" s="91">
        <v>978555251</v>
      </c>
      <c r="R415" s="87"/>
      <c r="S415" s="30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</row>
    <row r="416" spans="2:37" ht="16.2" x14ac:dyDescent="0.3">
      <c r="B416" s="80">
        <v>408</v>
      </c>
      <c r="C416" s="84" t="s">
        <v>874</v>
      </c>
      <c r="D416" s="82" t="s">
        <v>875</v>
      </c>
      <c r="E416" s="83">
        <v>7583</v>
      </c>
      <c r="F416" s="83" t="s">
        <v>28</v>
      </c>
      <c r="G416" s="84" t="s">
        <v>106</v>
      </c>
      <c r="H416" s="83" t="s">
        <v>14</v>
      </c>
      <c r="I416" s="83" t="s">
        <v>56</v>
      </c>
      <c r="J416" s="83">
        <v>76.92</v>
      </c>
      <c r="K416" s="84"/>
      <c r="L416" s="83" t="s">
        <v>12</v>
      </c>
      <c r="M416" s="83" t="s">
        <v>112</v>
      </c>
      <c r="N416" s="85">
        <v>45953</v>
      </c>
      <c r="O416" s="86" t="s">
        <v>25</v>
      </c>
      <c r="P416" s="85" t="s">
        <v>20</v>
      </c>
      <c r="Q416" s="91" t="s">
        <v>876</v>
      </c>
      <c r="R416" s="87"/>
      <c r="S416" s="30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</row>
    <row r="417" spans="2:37" ht="16.2" x14ac:dyDescent="0.3">
      <c r="B417" s="80">
        <v>409</v>
      </c>
      <c r="C417" s="84" t="s">
        <v>877</v>
      </c>
      <c r="D417" s="82" t="s">
        <v>878</v>
      </c>
      <c r="E417" s="83">
        <v>7551</v>
      </c>
      <c r="F417" s="83" t="s">
        <v>16</v>
      </c>
      <c r="G417" s="83" t="s">
        <v>15</v>
      </c>
      <c r="H417" s="83" t="s">
        <v>14</v>
      </c>
      <c r="I417" s="83" t="s">
        <v>13</v>
      </c>
      <c r="J417" s="83">
        <v>40</v>
      </c>
      <c r="K417" s="84"/>
      <c r="L417" s="83" t="s">
        <v>26</v>
      </c>
      <c r="M417" s="83" t="s">
        <v>60</v>
      </c>
      <c r="N417" s="85">
        <v>45950</v>
      </c>
      <c r="O417" s="86" t="s">
        <v>10</v>
      </c>
      <c r="P417" s="85" t="s">
        <v>9</v>
      </c>
      <c r="Q417" s="91">
        <v>997663006</v>
      </c>
      <c r="R417" s="87"/>
      <c r="S417" s="30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</row>
    <row r="418" spans="2:37" ht="16.2" x14ac:dyDescent="0.3">
      <c r="B418" s="80">
        <v>410</v>
      </c>
      <c r="C418" s="84" t="s">
        <v>879</v>
      </c>
      <c r="D418" s="82" t="s">
        <v>880</v>
      </c>
      <c r="E418" s="83">
        <v>7552</v>
      </c>
      <c r="F418" s="83" t="s">
        <v>28</v>
      </c>
      <c r="G418" s="83" t="s">
        <v>83</v>
      </c>
      <c r="H418" s="83" t="s">
        <v>14</v>
      </c>
      <c r="I418" s="83" t="s">
        <v>13</v>
      </c>
      <c r="J418" s="83">
        <v>40</v>
      </c>
      <c r="K418" s="84"/>
      <c r="L418" s="83" t="s">
        <v>26</v>
      </c>
      <c r="M418" s="83" t="s">
        <v>60</v>
      </c>
      <c r="N418" s="85">
        <v>45950</v>
      </c>
      <c r="O418" s="86" t="s">
        <v>10</v>
      </c>
      <c r="P418" s="85" t="s">
        <v>9</v>
      </c>
      <c r="Q418" s="91">
        <v>997663006</v>
      </c>
      <c r="R418" s="87"/>
      <c r="S418" s="30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</row>
    <row r="419" spans="2:37" ht="16.2" x14ac:dyDescent="0.3">
      <c r="B419" s="80">
        <v>411</v>
      </c>
      <c r="C419" s="84" t="s">
        <v>881</v>
      </c>
      <c r="D419" s="82" t="s">
        <v>882</v>
      </c>
      <c r="E419" s="83">
        <v>7553</v>
      </c>
      <c r="F419" s="83" t="s">
        <v>16</v>
      </c>
      <c r="G419" s="83" t="s">
        <v>15</v>
      </c>
      <c r="H419" s="83" t="s">
        <v>14</v>
      </c>
      <c r="I419" s="83" t="s">
        <v>19</v>
      </c>
      <c r="J419" s="83">
        <v>40</v>
      </c>
      <c r="K419" s="84"/>
      <c r="L419" s="83" t="s">
        <v>12</v>
      </c>
      <c r="M419" s="83" t="s">
        <v>60</v>
      </c>
      <c r="N419" s="85">
        <v>45950</v>
      </c>
      <c r="O419" s="86" t="s">
        <v>10</v>
      </c>
      <c r="P419" s="85" t="s">
        <v>9</v>
      </c>
      <c r="Q419" s="91" t="s">
        <v>883</v>
      </c>
      <c r="R419" s="87"/>
      <c r="S419" s="30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</row>
    <row r="420" spans="2:37" ht="16.2" x14ac:dyDescent="0.3">
      <c r="B420" s="80">
        <v>412</v>
      </c>
      <c r="C420" s="84" t="s">
        <v>613</v>
      </c>
      <c r="D420" s="82" t="s">
        <v>612</v>
      </c>
      <c r="E420" s="83">
        <v>7554</v>
      </c>
      <c r="F420" s="83" t="s">
        <v>16</v>
      </c>
      <c r="G420" s="83" t="s">
        <v>97</v>
      </c>
      <c r="H420" s="83" t="s">
        <v>14</v>
      </c>
      <c r="I420" s="83" t="s">
        <v>103</v>
      </c>
      <c r="J420" s="83">
        <v>30</v>
      </c>
      <c r="K420" s="84"/>
      <c r="L420" s="83" t="s">
        <v>12</v>
      </c>
      <c r="M420" s="83" t="s">
        <v>60</v>
      </c>
      <c r="N420" s="85">
        <v>45950</v>
      </c>
      <c r="O420" s="86" t="s">
        <v>25</v>
      </c>
      <c r="P420" s="85" t="s">
        <v>20</v>
      </c>
      <c r="Q420" s="91">
        <v>997021523</v>
      </c>
      <c r="R420" s="87"/>
      <c r="S420" s="30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</row>
    <row r="421" spans="2:37" ht="16.2" x14ac:dyDescent="0.3">
      <c r="B421" s="80">
        <v>413</v>
      </c>
      <c r="C421" s="84" t="s">
        <v>884</v>
      </c>
      <c r="D421" s="82" t="s">
        <v>885</v>
      </c>
      <c r="E421" s="83">
        <v>7555</v>
      </c>
      <c r="F421" s="83" t="s">
        <v>28</v>
      </c>
      <c r="G421" s="83" t="s">
        <v>34</v>
      </c>
      <c r="H421" s="83" t="s">
        <v>14</v>
      </c>
      <c r="I421" s="83" t="s">
        <v>56</v>
      </c>
      <c r="J421" s="83">
        <v>53.84</v>
      </c>
      <c r="K421" s="84"/>
      <c r="L421" s="83" t="s">
        <v>12</v>
      </c>
      <c r="M421" s="83" t="s">
        <v>60</v>
      </c>
      <c r="N421" s="85">
        <v>45950</v>
      </c>
      <c r="O421" s="86" t="s">
        <v>10</v>
      </c>
      <c r="P421" s="85" t="s">
        <v>20</v>
      </c>
      <c r="Q421" s="91">
        <v>990203268</v>
      </c>
      <c r="R421" s="87"/>
      <c r="S421" s="30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</row>
    <row r="422" spans="2:37" ht="16.2" x14ac:dyDescent="0.3">
      <c r="B422" s="80">
        <v>414</v>
      </c>
      <c r="C422" s="84" t="s">
        <v>886</v>
      </c>
      <c r="D422" s="82" t="s">
        <v>887</v>
      </c>
      <c r="E422" s="83">
        <v>7556</v>
      </c>
      <c r="F422" s="83" t="s">
        <v>16</v>
      </c>
      <c r="G422" s="83" t="s">
        <v>237</v>
      </c>
      <c r="H422" s="83" t="s">
        <v>14</v>
      </c>
      <c r="I422" s="83" t="s">
        <v>13</v>
      </c>
      <c r="J422" s="83">
        <v>55</v>
      </c>
      <c r="K422" s="84"/>
      <c r="L422" s="83" t="s">
        <v>12</v>
      </c>
      <c r="M422" s="83" t="s">
        <v>60</v>
      </c>
      <c r="N422" s="85">
        <v>45950</v>
      </c>
      <c r="O422" s="86" t="s">
        <v>25</v>
      </c>
      <c r="P422" s="85" t="s">
        <v>20</v>
      </c>
      <c r="Q422" s="91">
        <v>813800573</v>
      </c>
      <c r="R422" s="87"/>
      <c r="S422" s="30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</row>
    <row r="423" spans="2:37" ht="16.2" x14ac:dyDescent="0.3">
      <c r="B423" s="80">
        <v>415</v>
      </c>
      <c r="C423" s="84" t="s">
        <v>888</v>
      </c>
      <c r="D423" s="82" t="s">
        <v>889</v>
      </c>
      <c r="E423" s="100">
        <v>7557</v>
      </c>
      <c r="F423" s="99" t="s">
        <v>28</v>
      </c>
      <c r="G423" s="84" t="s">
        <v>124</v>
      </c>
      <c r="H423" s="84" t="s">
        <v>14</v>
      </c>
      <c r="I423" s="83" t="s">
        <v>13</v>
      </c>
      <c r="J423" s="84">
        <v>55</v>
      </c>
      <c r="K423" s="84"/>
      <c r="L423" s="83" t="s">
        <v>12</v>
      </c>
      <c r="M423" s="99" t="s">
        <v>60</v>
      </c>
      <c r="N423" s="85">
        <v>45950</v>
      </c>
      <c r="O423" s="86" t="s">
        <v>25</v>
      </c>
      <c r="P423" s="85" t="s">
        <v>20</v>
      </c>
      <c r="Q423" s="91">
        <v>848444945</v>
      </c>
      <c r="R423" s="87"/>
      <c r="S423" s="30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</row>
    <row r="424" spans="2:37" ht="16.2" x14ac:dyDescent="0.3">
      <c r="B424" s="80">
        <v>416</v>
      </c>
      <c r="C424" s="84" t="s">
        <v>890</v>
      </c>
      <c r="D424" s="82" t="s">
        <v>891</v>
      </c>
      <c r="E424" s="83">
        <v>7558</v>
      </c>
      <c r="F424" s="83" t="s">
        <v>28</v>
      </c>
      <c r="G424" s="83" t="s">
        <v>100</v>
      </c>
      <c r="H424" s="83" t="s">
        <v>14</v>
      </c>
      <c r="I424" s="83" t="s">
        <v>13</v>
      </c>
      <c r="J424" s="83">
        <v>55</v>
      </c>
      <c r="K424" s="84"/>
      <c r="L424" s="83" t="s">
        <v>12</v>
      </c>
      <c r="M424" s="83" t="s">
        <v>60</v>
      </c>
      <c r="N424" s="85">
        <v>45950</v>
      </c>
      <c r="O424" s="86" t="s">
        <v>10</v>
      </c>
      <c r="P424" s="85" t="s">
        <v>20</v>
      </c>
      <c r="Q424" s="91">
        <v>991008472</v>
      </c>
      <c r="R424" s="87"/>
      <c r="S424" s="30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</row>
    <row r="425" spans="2:37" ht="16.2" x14ac:dyDescent="0.3">
      <c r="B425" s="80">
        <v>417</v>
      </c>
      <c r="C425" s="84" t="s">
        <v>892</v>
      </c>
      <c r="D425" s="82" t="s">
        <v>893</v>
      </c>
      <c r="E425" s="83">
        <v>7559</v>
      </c>
      <c r="F425" s="83" t="s">
        <v>28</v>
      </c>
      <c r="G425" s="83" t="s">
        <v>167</v>
      </c>
      <c r="H425" s="83" t="s">
        <v>14</v>
      </c>
      <c r="I425" s="83" t="s">
        <v>13</v>
      </c>
      <c r="J425" s="83">
        <v>100</v>
      </c>
      <c r="K425" s="84"/>
      <c r="L425" s="83" t="s">
        <v>12</v>
      </c>
      <c r="M425" s="83" t="s">
        <v>60</v>
      </c>
      <c r="N425" s="85">
        <v>45950</v>
      </c>
      <c r="O425" s="86" t="s">
        <v>25</v>
      </c>
      <c r="P425" s="85" t="s">
        <v>20</v>
      </c>
      <c r="Q425" s="91">
        <v>991008472</v>
      </c>
      <c r="R425" s="87"/>
      <c r="S425" s="30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</row>
    <row r="426" spans="2:37" ht="16.2" x14ac:dyDescent="0.3">
      <c r="B426" s="80">
        <v>418</v>
      </c>
      <c r="C426" s="84" t="s">
        <v>894</v>
      </c>
      <c r="D426" s="82" t="s">
        <v>895</v>
      </c>
      <c r="E426" s="83">
        <v>7560</v>
      </c>
      <c r="F426" s="83" t="s">
        <v>28</v>
      </c>
      <c r="G426" s="84" t="s">
        <v>100</v>
      </c>
      <c r="H426" s="83" t="s">
        <v>14</v>
      </c>
      <c r="I426" s="83" t="s">
        <v>56</v>
      </c>
      <c r="J426" s="83">
        <v>50</v>
      </c>
      <c r="K426" s="84"/>
      <c r="L426" s="83" t="s">
        <v>26</v>
      </c>
      <c r="M426" s="83" t="s">
        <v>49</v>
      </c>
      <c r="N426" s="85">
        <v>45951</v>
      </c>
      <c r="O426" s="86" t="s">
        <v>10</v>
      </c>
      <c r="P426" s="85" t="s">
        <v>20</v>
      </c>
      <c r="Q426" s="91">
        <v>992247155</v>
      </c>
      <c r="R426" s="87"/>
      <c r="S426" s="30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</row>
    <row r="427" spans="2:37" ht="16.2" x14ac:dyDescent="0.3">
      <c r="B427" s="80">
        <v>419</v>
      </c>
      <c r="C427" s="84" t="s">
        <v>896</v>
      </c>
      <c r="D427" s="82" t="s">
        <v>897</v>
      </c>
      <c r="E427" s="83">
        <v>7561</v>
      </c>
      <c r="F427" s="83" t="s">
        <v>16</v>
      </c>
      <c r="G427" s="83" t="s">
        <v>22</v>
      </c>
      <c r="H427" s="83" t="s">
        <v>14</v>
      </c>
      <c r="I427" s="83" t="s">
        <v>19</v>
      </c>
      <c r="J427" s="83">
        <v>40</v>
      </c>
      <c r="K427" s="84"/>
      <c r="L427" s="83" t="s">
        <v>12</v>
      </c>
      <c r="M427" s="83" t="s">
        <v>49</v>
      </c>
      <c r="N427" s="85">
        <v>45951</v>
      </c>
      <c r="O427" s="86" t="s">
        <v>10</v>
      </c>
      <c r="P427" s="85" t="s">
        <v>20</v>
      </c>
      <c r="Q427" s="91">
        <v>808677280</v>
      </c>
      <c r="R427" s="87"/>
      <c r="S427" s="30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</row>
    <row r="428" spans="2:37" ht="16.2" x14ac:dyDescent="0.3">
      <c r="B428" s="80">
        <v>420</v>
      </c>
      <c r="C428" s="84" t="s">
        <v>898</v>
      </c>
      <c r="D428" s="82" t="s">
        <v>899</v>
      </c>
      <c r="E428" s="83">
        <v>7562</v>
      </c>
      <c r="F428" s="83" t="s">
        <v>28</v>
      </c>
      <c r="G428" s="84" t="s">
        <v>15</v>
      </c>
      <c r="H428" s="83" t="s">
        <v>14</v>
      </c>
      <c r="I428" s="83" t="s">
        <v>19</v>
      </c>
      <c r="J428" s="83">
        <v>35</v>
      </c>
      <c r="K428" s="84"/>
      <c r="L428" s="83" t="s">
        <v>12</v>
      </c>
      <c r="M428" s="83" t="s">
        <v>49</v>
      </c>
      <c r="N428" s="85">
        <v>45951</v>
      </c>
      <c r="O428" s="86" t="s">
        <v>10</v>
      </c>
      <c r="P428" s="85" t="s">
        <v>9</v>
      </c>
      <c r="Q428" s="91" t="s">
        <v>900</v>
      </c>
      <c r="R428" s="87"/>
      <c r="S428" s="30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</row>
    <row r="429" spans="2:37" ht="16.2" x14ac:dyDescent="0.3">
      <c r="B429" s="80">
        <v>421</v>
      </c>
      <c r="C429" s="84" t="s">
        <v>901</v>
      </c>
      <c r="D429" s="82" t="s">
        <v>902</v>
      </c>
      <c r="E429" s="83">
        <v>7563</v>
      </c>
      <c r="F429" s="84" t="s">
        <v>16</v>
      </c>
      <c r="G429" s="84" t="s">
        <v>133</v>
      </c>
      <c r="H429" s="84" t="s">
        <v>14</v>
      </c>
      <c r="I429" s="84" t="s">
        <v>19</v>
      </c>
      <c r="J429" s="84">
        <v>35</v>
      </c>
      <c r="K429" s="84"/>
      <c r="L429" s="84" t="s">
        <v>26</v>
      </c>
      <c r="M429" s="84" t="s">
        <v>49</v>
      </c>
      <c r="N429" s="85">
        <v>45951</v>
      </c>
      <c r="O429" s="86" t="s">
        <v>25</v>
      </c>
      <c r="P429" s="97" t="s">
        <v>9</v>
      </c>
      <c r="Q429" s="91">
        <v>895618289</v>
      </c>
      <c r="R429" s="91"/>
      <c r="S429" s="30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</row>
    <row r="430" spans="2:37" ht="16.2" customHeight="1" x14ac:dyDescent="0.3">
      <c r="B430" s="80">
        <v>422</v>
      </c>
      <c r="C430" s="84" t="s">
        <v>903</v>
      </c>
      <c r="D430" s="82" t="s">
        <v>904</v>
      </c>
      <c r="E430" s="83">
        <v>7564</v>
      </c>
      <c r="F430" s="83" t="s">
        <v>16</v>
      </c>
      <c r="G430" s="83" t="s">
        <v>80</v>
      </c>
      <c r="H430" s="83" t="s">
        <v>14</v>
      </c>
      <c r="I430" s="83" t="s">
        <v>19</v>
      </c>
      <c r="J430" s="83">
        <v>35</v>
      </c>
      <c r="K430" s="84"/>
      <c r="L430" s="83" t="s">
        <v>12</v>
      </c>
      <c r="M430" s="83" t="s">
        <v>49</v>
      </c>
      <c r="N430" s="85">
        <v>45951</v>
      </c>
      <c r="O430" s="86" t="s">
        <v>10</v>
      </c>
      <c r="P430" s="85" t="s">
        <v>9</v>
      </c>
      <c r="Q430" s="91" t="s">
        <v>905</v>
      </c>
      <c r="R430" s="87"/>
      <c r="S430" s="30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</row>
    <row r="431" spans="2:37" ht="16.2" x14ac:dyDescent="0.3">
      <c r="B431" s="80">
        <v>423</v>
      </c>
      <c r="C431" s="84" t="s">
        <v>906</v>
      </c>
      <c r="D431" s="82" t="s">
        <v>907</v>
      </c>
      <c r="E431" s="83">
        <v>7565</v>
      </c>
      <c r="F431" s="83" t="s">
        <v>28</v>
      </c>
      <c r="G431" s="83" t="s">
        <v>22</v>
      </c>
      <c r="H431" s="83" t="s">
        <v>14</v>
      </c>
      <c r="I431" s="83" t="s">
        <v>56</v>
      </c>
      <c r="J431" s="83">
        <v>20</v>
      </c>
      <c r="K431" s="84"/>
      <c r="L431" s="83" t="s">
        <v>12</v>
      </c>
      <c r="M431" s="83" t="s">
        <v>49</v>
      </c>
      <c r="N431" s="85">
        <v>45951</v>
      </c>
      <c r="O431" s="86" t="s">
        <v>10</v>
      </c>
      <c r="P431" s="85" t="s">
        <v>20</v>
      </c>
      <c r="Q431" s="91"/>
      <c r="R431" s="87"/>
      <c r="S431" s="30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</row>
    <row r="432" spans="2:37" ht="16.2" x14ac:dyDescent="0.3">
      <c r="B432" s="80">
        <v>424</v>
      </c>
      <c r="C432" s="84" t="s">
        <v>908</v>
      </c>
      <c r="D432" s="82" t="s">
        <v>909</v>
      </c>
      <c r="E432" s="83">
        <v>7566</v>
      </c>
      <c r="F432" s="83" t="s">
        <v>16</v>
      </c>
      <c r="G432" s="83" t="s">
        <v>72</v>
      </c>
      <c r="H432" s="83" t="s">
        <v>14</v>
      </c>
      <c r="I432" s="83" t="s">
        <v>56</v>
      </c>
      <c r="J432" s="83">
        <v>40</v>
      </c>
      <c r="K432" s="84"/>
      <c r="L432" s="83" t="s">
        <v>12</v>
      </c>
      <c r="M432" s="83" t="s">
        <v>49</v>
      </c>
      <c r="N432" s="85">
        <v>45951</v>
      </c>
      <c r="O432" s="86" t="s">
        <v>25</v>
      </c>
      <c r="P432" s="85" t="s">
        <v>20</v>
      </c>
      <c r="Q432" s="91">
        <v>99708678</v>
      </c>
      <c r="R432" s="87"/>
      <c r="S432" s="30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</row>
    <row r="433" spans="2:37" ht="16.2" customHeight="1" x14ac:dyDescent="0.3">
      <c r="B433" s="80">
        <v>425</v>
      </c>
      <c r="C433" s="84" t="s">
        <v>910</v>
      </c>
      <c r="D433" s="82" t="s">
        <v>911</v>
      </c>
      <c r="E433" s="100">
        <v>7567</v>
      </c>
      <c r="F433" s="99" t="s">
        <v>16</v>
      </c>
      <c r="G433" s="84" t="s">
        <v>912</v>
      </c>
      <c r="H433" s="84" t="s">
        <v>14</v>
      </c>
      <c r="I433" s="84" t="s">
        <v>56</v>
      </c>
      <c r="J433" s="84">
        <v>34.61</v>
      </c>
      <c r="K433" s="84"/>
      <c r="L433" s="83" t="s">
        <v>26</v>
      </c>
      <c r="M433" s="99" t="s">
        <v>49</v>
      </c>
      <c r="N433" s="85">
        <v>45951</v>
      </c>
      <c r="O433" s="86" t="s">
        <v>25</v>
      </c>
      <c r="P433" s="85" t="s">
        <v>20</v>
      </c>
      <c r="Q433" s="91">
        <v>998670888</v>
      </c>
      <c r="R433" s="87"/>
      <c r="S433" s="30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</row>
    <row r="434" spans="2:37" ht="16.2" x14ac:dyDescent="0.3">
      <c r="B434" s="80">
        <v>426</v>
      </c>
      <c r="C434" s="84" t="s">
        <v>913</v>
      </c>
      <c r="D434" s="82" t="s">
        <v>914</v>
      </c>
      <c r="E434" s="83">
        <v>7568</v>
      </c>
      <c r="F434" s="83" t="s">
        <v>28</v>
      </c>
      <c r="G434" s="83" t="s">
        <v>301</v>
      </c>
      <c r="H434" s="83" t="s">
        <v>14</v>
      </c>
      <c r="I434" s="83" t="s">
        <v>19</v>
      </c>
      <c r="J434" s="83">
        <v>80</v>
      </c>
      <c r="K434" s="84"/>
      <c r="L434" s="83" t="s">
        <v>26</v>
      </c>
      <c r="M434" s="83" t="s">
        <v>49</v>
      </c>
      <c r="N434" s="85">
        <v>45951</v>
      </c>
      <c r="O434" s="86" t="s">
        <v>25</v>
      </c>
      <c r="P434" s="85" t="s">
        <v>20</v>
      </c>
      <c r="Q434" s="91">
        <v>976991348</v>
      </c>
      <c r="R434" s="87"/>
      <c r="S434" s="30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</row>
    <row r="435" spans="2:37" ht="16.2" x14ac:dyDescent="0.3">
      <c r="B435" s="80">
        <v>427</v>
      </c>
      <c r="C435" s="84" t="s">
        <v>915</v>
      </c>
      <c r="D435" s="82" t="s">
        <v>916</v>
      </c>
      <c r="E435" s="83">
        <v>7569</v>
      </c>
      <c r="F435" s="83" t="s">
        <v>28</v>
      </c>
      <c r="G435" s="84" t="s">
        <v>37</v>
      </c>
      <c r="H435" s="83" t="s">
        <v>14</v>
      </c>
      <c r="I435" s="83" t="s">
        <v>19</v>
      </c>
      <c r="J435" s="83">
        <v>45</v>
      </c>
      <c r="K435" s="84"/>
      <c r="L435" s="83" t="s">
        <v>26</v>
      </c>
      <c r="M435" s="83" t="s">
        <v>11</v>
      </c>
      <c r="N435" s="85">
        <v>45952</v>
      </c>
      <c r="O435" s="86" t="s">
        <v>10</v>
      </c>
      <c r="P435" s="85" t="s">
        <v>20</v>
      </c>
      <c r="Q435" s="91">
        <v>972672448</v>
      </c>
      <c r="R435" s="87"/>
      <c r="S435" s="30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</row>
    <row r="436" spans="2:37" ht="16.2" x14ac:dyDescent="0.3">
      <c r="B436" s="80">
        <v>428</v>
      </c>
      <c r="C436" s="84" t="s">
        <v>917</v>
      </c>
      <c r="D436" s="82" t="s">
        <v>918</v>
      </c>
      <c r="E436" s="83">
        <v>7570</v>
      </c>
      <c r="F436" s="84" t="s">
        <v>16</v>
      </c>
      <c r="G436" s="84" t="s">
        <v>37</v>
      </c>
      <c r="H436" s="84" t="s">
        <v>14</v>
      </c>
      <c r="I436" s="84" t="s">
        <v>19</v>
      </c>
      <c r="J436" s="84">
        <v>45</v>
      </c>
      <c r="K436" s="84"/>
      <c r="L436" s="84" t="s">
        <v>12</v>
      </c>
      <c r="M436" s="84" t="s">
        <v>11</v>
      </c>
      <c r="N436" s="85">
        <v>45952</v>
      </c>
      <c r="O436" s="86" t="s">
        <v>10</v>
      </c>
      <c r="P436" s="97" t="s">
        <v>20</v>
      </c>
      <c r="Q436" s="91" t="s">
        <v>919</v>
      </c>
      <c r="R436" s="91"/>
      <c r="S436" s="30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</row>
    <row r="437" spans="2:37" ht="16.2" x14ac:dyDescent="0.3">
      <c r="B437" s="80">
        <v>429</v>
      </c>
      <c r="C437" s="84" t="s">
        <v>920</v>
      </c>
      <c r="D437" s="82" t="s">
        <v>921</v>
      </c>
      <c r="E437" s="83">
        <v>7571</v>
      </c>
      <c r="F437" s="84" t="s">
        <v>16</v>
      </c>
      <c r="G437" s="84" t="s">
        <v>150</v>
      </c>
      <c r="H437" s="84" t="s">
        <v>14</v>
      </c>
      <c r="I437" s="84" t="s">
        <v>56</v>
      </c>
      <c r="J437" s="84">
        <v>25</v>
      </c>
      <c r="K437" s="84"/>
      <c r="L437" s="84" t="s">
        <v>12</v>
      </c>
      <c r="M437" s="84" t="s">
        <v>11</v>
      </c>
      <c r="N437" s="85">
        <v>45952</v>
      </c>
      <c r="O437" s="86" t="s">
        <v>10</v>
      </c>
      <c r="P437" s="97" t="s">
        <v>20</v>
      </c>
      <c r="Q437" s="91">
        <v>858849875</v>
      </c>
      <c r="R437" s="91"/>
      <c r="S437" s="30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</row>
    <row r="438" spans="2:37" ht="16.2" x14ac:dyDescent="0.3">
      <c r="B438" s="80">
        <v>430</v>
      </c>
      <c r="C438" s="84" t="s">
        <v>817</v>
      </c>
      <c r="D438" s="82" t="s">
        <v>816</v>
      </c>
      <c r="E438" s="83">
        <v>7572</v>
      </c>
      <c r="F438" s="83" t="s">
        <v>16</v>
      </c>
      <c r="G438" s="84" t="s">
        <v>146</v>
      </c>
      <c r="H438" s="83" t="s">
        <v>14</v>
      </c>
      <c r="I438" s="83" t="s">
        <v>13</v>
      </c>
      <c r="J438" s="83">
        <v>55</v>
      </c>
      <c r="K438" s="84"/>
      <c r="L438" s="83" t="s">
        <v>12</v>
      </c>
      <c r="M438" s="83" t="s">
        <v>11</v>
      </c>
      <c r="N438" s="85">
        <v>45952</v>
      </c>
      <c r="O438" s="86" t="s">
        <v>10</v>
      </c>
      <c r="P438" s="85" t="s">
        <v>20</v>
      </c>
      <c r="Q438" s="91" t="s">
        <v>815</v>
      </c>
      <c r="R438" s="87"/>
      <c r="S438" s="30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</row>
    <row r="439" spans="2:37" ht="16.2" customHeight="1" x14ac:dyDescent="0.3">
      <c r="B439" s="80">
        <v>431</v>
      </c>
      <c r="C439" s="97" t="s">
        <v>817</v>
      </c>
      <c r="D439" s="104" t="s">
        <v>816</v>
      </c>
      <c r="E439" s="105">
        <v>7573</v>
      </c>
      <c r="F439" s="97" t="s">
        <v>16</v>
      </c>
      <c r="G439" s="97" t="s">
        <v>146</v>
      </c>
      <c r="H439" s="97" t="s">
        <v>14</v>
      </c>
      <c r="I439" s="97" t="s">
        <v>21</v>
      </c>
      <c r="J439" s="97">
        <v>55</v>
      </c>
      <c r="K439" s="97"/>
      <c r="L439" s="97" t="s">
        <v>12</v>
      </c>
      <c r="M439" s="97" t="s">
        <v>11</v>
      </c>
      <c r="N439" s="85">
        <v>45952</v>
      </c>
      <c r="O439" s="86" t="s">
        <v>10</v>
      </c>
      <c r="P439" s="97" t="s">
        <v>20</v>
      </c>
      <c r="Q439" s="91" t="s">
        <v>815</v>
      </c>
      <c r="R439" s="91"/>
      <c r="S439" s="30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</row>
    <row r="440" spans="2:37" ht="16.2" x14ac:dyDescent="0.3">
      <c r="B440" s="80">
        <v>432</v>
      </c>
      <c r="C440" s="84" t="s">
        <v>817</v>
      </c>
      <c r="D440" s="82" t="s">
        <v>816</v>
      </c>
      <c r="E440" s="83">
        <v>7574</v>
      </c>
      <c r="F440" s="84" t="s">
        <v>16</v>
      </c>
      <c r="G440" s="84" t="s">
        <v>146</v>
      </c>
      <c r="H440" s="84" t="s">
        <v>14</v>
      </c>
      <c r="I440" s="84" t="s">
        <v>93</v>
      </c>
      <c r="J440" s="84">
        <v>55</v>
      </c>
      <c r="K440" s="84"/>
      <c r="L440" s="84" t="s">
        <v>12</v>
      </c>
      <c r="M440" s="84" t="s">
        <v>11</v>
      </c>
      <c r="N440" s="85">
        <v>45952</v>
      </c>
      <c r="O440" s="86" t="s">
        <v>10</v>
      </c>
      <c r="P440" s="97" t="s">
        <v>20</v>
      </c>
      <c r="Q440" s="91" t="s">
        <v>815</v>
      </c>
      <c r="R440" s="91"/>
      <c r="S440" s="30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</row>
    <row r="441" spans="2:37" ht="16.2" x14ac:dyDescent="0.3">
      <c r="B441" s="80">
        <v>433</v>
      </c>
      <c r="C441" s="84" t="s">
        <v>817</v>
      </c>
      <c r="D441" s="82" t="s">
        <v>816</v>
      </c>
      <c r="E441" s="83">
        <v>7575</v>
      </c>
      <c r="F441" s="84" t="s">
        <v>16</v>
      </c>
      <c r="G441" s="84" t="s">
        <v>146</v>
      </c>
      <c r="H441" s="84" t="s">
        <v>14</v>
      </c>
      <c r="I441" s="84" t="s">
        <v>922</v>
      </c>
      <c r="J441" s="84">
        <v>55</v>
      </c>
      <c r="K441" s="84"/>
      <c r="L441" s="84" t="s">
        <v>12</v>
      </c>
      <c r="M441" s="84" t="s">
        <v>11</v>
      </c>
      <c r="N441" s="85">
        <v>45952</v>
      </c>
      <c r="O441" s="86" t="s">
        <v>10</v>
      </c>
      <c r="P441" s="97" t="s">
        <v>20</v>
      </c>
      <c r="Q441" s="91" t="s">
        <v>815</v>
      </c>
      <c r="R441" s="91"/>
      <c r="S441" s="30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</row>
    <row r="442" spans="2:37" ht="16.2" customHeight="1" x14ac:dyDescent="0.3">
      <c r="B442" s="80">
        <v>434</v>
      </c>
      <c r="C442" s="84" t="s">
        <v>817</v>
      </c>
      <c r="D442" s="82" t="s">
        <v>816</v>
      </c>
      <c r="E442" s="83">
        <v>7576</v>
      </c>
      <c r="F442" s="84" t="s">
        <v>16</v>
      </c>
      <c r="G442" s="84" t="s">
        <v>146</v>
      </c>
      <c r="H442" s="84" t="s">
        <v>14</v>
      </c>
      <c r="I442" s="84" t="s">
        <v>923</v>
      </c>
      <c r="J442" s="84">
        <v>55</v>
      </c>
      <c r="K442" s="84"/>
      <c r="L442" s="84" t="s">
        <v>12</v>
      </c>
      <c r="M442" s="84" t="s">
        <v>11</v>
      </c>
      <c r="N442" s="85">
        <v>45952</v>
      </c>
      <c r="O442" s="86" t="s">
        <v>10</v>
      </c>
      <c r="P442" s="97" t="s">
        <v>20</v>
      </c>
      <c r="Q442" s="91" t="s">
        <v>815</v>
      </c>
      <c r="R442" s="91"/>
      <c r="S442" s="30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</row>
    <row r="443" spans="2:37" ht="16.2" x14ac:dyDescent="0.3">
      <c r="B443" s="80">
        <v>435</v>
      </c>
      <c r="C443" s="84" t="s">
        <v>817</v>
      </c>
      <c r="D443" s="82" t="s">
        <v>816</v>
      </c>
      <c r="E443" s="83">
        <v>7577</v>
      </c>
      <c r="F443" s="83" t="s">
        <v>16</v>
      </c>
      <c r="G443" s="83" t="s">
        <v>146</v>
      </c>
      <c r="H443" s="83" t="s">
        <v>14</v>
      </c>
      <c r="I443" s="83" t="s">
        <v>924</v>
      </c>
      <c r="J443" s="83">
        <v>55</v>
      </c>
      <c r="K443" s="84"/>
      <c r="L443" s="83" t="s">
        <v>12</v>
      </c>
      <c r="M443" s="83" t="s">
        <v>11</v>
      </c>
      <c r="N443" s="85">
        <v>45952</v>
      </c>
      <c r="O443" s="86" t="s">
        <v>10</v>
      </c>
      <c r="P443" s="85" t="s">
        <v>20</v>
      </c>
      <c r="Q443" s="91" t="s">
        <v>815</v>
      </c>
      <c r="R443" s="87"/>
      <c r="S443" s="30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</row>
    <row r="444" spans="2:37" ht="16.2" x14ac:dyDescent="0.3">
      <c r="B444" s="80">
        <v>436</v>
      </c>
      <c r="C444" s="84" t="s">
        <v>925</v>
      </c>
      <c r="D444" s="82" t="s">
        <v>926</v>
      </c>
      <c r="E444" s="83">
        <v>7579</v>
      </c>
      <c r="F444" s="83" t="s">
        <v>28</v>
      </c>
      <c r="G444" s="83" t="s">
        <v>100</v>
      </c>
      <c r="H444" s="83" t="s">
        <v>14</v>
      </c>
      <c r="I444" s="83" t="s">
        <v>56</v>
      </c>
      <c r="J444" s="83">
        <v>34.61</v>
      </c>
      <c r="K444" s="84"/>
      <c r="L444" s="83" t="s">
        <v>12</v>
      </c>
      <c r="M444" s="83" t="s">
        <v>11</v>
      </c>
      <c r="N444" s="85">
        <v>45952</v>
      </c>
      <c r="O444" s="86" t="s">
        <v>10</v>
      </c>
      <c r="P444" s="85" t="s">
        <v>20</v>
      </c>
      <c r="Q444" s="91">
        <v>974012222</v>
      </c>
      <c r="R444" s="87"/>
      <c r="S444" s="30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</row>
    <row r="445" spans="2:37" ht="16.2" x14ac:dyDescent="0.3">
      <c r="B445" s="80">
        <v>437</v>
      </c>
      <c r="C445" s="84" t="s">
        <v>927</v>
      </c>
      <c r="D445" s="82" t="s">
        <v>928</v>
      </c>
      <c r="E445" s="83">
        <v>7578</v>
      </c>
      <c r="F445" s="83" t="s">
        <v>16</v>
      </c>
      <c r="G445" s="83" t="s">
        <v>15</v>
      </c>
      <c r="H445" s="83" t="s">
        <v>14</v>
      </c>
      <c r="I445" s="83" t="s">
        <v>13</v>
      </c>
      <c r="J445" s="83">
        <v>40</v>
      </c>
      <c r="K445" s="84"/>
      <c r="L445" s="83" t="s">
        <v>26</v>
      </c>
      <c r="M445" s="83" t="s">
        <v>11</v>
      </c>
      <c r="N445" s="85">
        <v>45952</v>
      </c>
      <c r="O445" s="86" t="s">
        <v>10</v>
      </c>
      <c r="P445" s="85" t="s">
        <v>9</v>
      </c>
      <c r="Q445" s="91">
        <v>990495819</v>
      </c>
      <c r="R445" s="87"/>
      <c r="S445" s="30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</row>
    <row r="446" spans="2:37" ht="16.2" x14ac:dyDescent="0.3">
      <c r="B446" s="80">
        <v>438</v>
      </c>
      <c r="C446" s="84" t="s">
        <v>929</v>
      </c>
      <c r="D446" s="82" t="s">
        <v>930</v>
      </c>
      <c r="E446" s="83">
        <v>7580</v>
      </c>
      <c r="F446" s="83" t="s">
        <v>28</v>
      </c>
      <c r="G446" s="83" t="s">
        <v>97</v>
      </c>
      <c r="H446" s="83" t="s">
        <v>14</v>
      </c>
      <c r="I446" s="83" t="s">
        <v>19</v>
      </c>
      <c r="J446" s="83">
        <v>80</v>
      </c>
      <c r="K446" s="84"/>
      <c r="L446" s="83" t="s">
        <v>12</v>
      </c>
      <c r="M446" s="83" t="s">
        <v>11</v>
      </c>
      <c r="N446" s="85">
        <v>45952</v>
      </c>
      <c r="O446" s="86" t="s">
        <v>25</v>
      </c>
      <c r="P446" s="85" t="s">
        <v>20</v>
      </c>
      <c r="Q446" s="91">
        <v>828552771</v>
      </c>
      <c r="R446" s="87"/>
      <c r="S446" s="30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</row>
    <row r="447" spans="2:37" ht="16.2" x14ac:dyDescent="0.3">
      <c r="B447" s="80">
        <v>439</v>
      </c>
      <c r="C447" s="84" t="s">
        <v>931</v>
      </c>
      <c r="D447" s="82" t="s">
        <v>932</v>
      </c>
      <c r="E447" s="83">
        <v>7584</v>
      </c>
      <c r="F447" s="83" t="s">
        <v>28</v>
      </c>
      <c r="G447" s="83" t="s">
        <v>46</v>
      </c>
      <c r="H447" s="83" t="s">
        <v>14</v>
      </c>
      <c r="I447" s="83" t="s">
        <v>13</v>
      </c>
      <c r="J447" s="83">
        <v>40</v>
      </c>
      <c r="K447" s="84"/>
      <c r="L447" s="83" t="s">
        <v>12</v>
      </c>
      <c r="M447" s="83" t="s">
        <v>88</v>
      </c>
      <c r="N447" s="85">
        <v>45954</v>
      </c>
      <c r="O447" s="86" t="s">
        <v>10</v>
      </c>
      <c r="P447" s="85" t="s">
        <v>0</v>
      </c>
      <c r="Q447" s="91" t="s">
        <v>933</v>
      </c>
      <c r="R447" s="87"/>
      <c r="S447" s="30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</row>
    <row r="448" spans="2:37" ht="16.2" x14ac:dyDescent="0.3">
      <c r="B448" s="80">
        <v>440</v>
      </c>
      <c r="C448" s="84" t="s">
        <v>196</v>
      </c>
      <c r="D448" s="82" t="s">
        <v>195</v>
      </c>
      <c r="E448" s="100">
        <v>7586</v>
      </c>
      <c r="F448" s="99" t="s">
        <v>28</v>
      </c>
      <c r="G448" s="84" t="s">
        <v>124</v>
      </c>
      <c r="H448" s="84" t="s">
        <v>14</v>
      </c>
      <c r="I448" s="83" t="s">
        <v>56</v>
      </c>
      <c r="J448" s="84">
        <v>10</v>
      </c>
      <c r="K448" s="84"/>
      <c r="L448" s="83" t="s">
        <v>26</v>
      </c>
      <c r="M448" s="99" t="s">
        <v>88</v>
      </c>
      <c r="N448" s="85">
        <v>45954</v>
      </c>
      <c r="O448" s="86" t="s">
        <v>10</v>
      </c>
      <c r="P448" s="85" t="s">
        <v>20</v>
      </c>
      <c r="Q448" s="91">
        <v>826306153</v>
      </c>
      <c r="R448" s="87"/>
      <c r="S448" s="30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</row>
    <row r="449" spans="2:37" ht="16.2" x14ac:dyDescent="0.3">
      <c r="B449" s="80">
        <v>441</v>
      </c>
      <c r="C449" s="84" t="s">
        <v>934</v>
      </c>
      <c r="D449" s="82" t="s">
        <v>935</v>
      </c>
      <c r="E449" s="83">
        <v>7587</v>
      </c>
      <c r="F449" s="83" t="s">
        <v>28</v>
      </c>
      <c r="G449" s="83" t="s">
        <v>301</v>
      </c>
      <c r="H449" s="83" t="s">
        <v>14</v>
      </c>
      <c r="I449" s="83" t="s">
        <v>19</v>
      </c>
      <c r="J449" s="83">
        <v>80</v>
      </c>
      <c r="K449" s="84"/>
      <c r="L449" s="83" t="s">
        <v>12</v>
      </c>
      <c r="M449" s="83" t="s">
        <v>88</v>
      </c>
      <c r="N449" s="85">
        <v>45954</v>
      </c>
      <c r="O449" s="86" t="s">
        <v>25</v>
      </c>
      <c r="P449" s="85" t="s">
        <v>20</v>
      </c>
      <c r="Q449" s="91">
        <v>997046037</v>
      </c>
      <c r="R449" s="87"/>
      <c r="S449" s="30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</row>
    <row r="450" spans="2:37" ht="16.2" x14ac:dyDescent="0.3">
      <c r="B450" s="80">
        <v>442</v>
      </c>
      <c r="C450" s="84" t="s">
        <v>934</v>
      </c>
      <c r="D450" s="82" t="s">
        <v>935</v>
      </c>
      <c r="E450" s="83">
        <v>7588</v>
      </c>
      <c r="F450" s="83" t="s">
        <v>28</v>
      </c>
      <c r="G450" s="83" t="s">
        <v>301</v>
      </c>
      <c r="H450" s="83" t="s">
        <v>14</v>
      </c>
      <c r="I450" s="83" t="s">
        <v>13</v>
      </c>
      <c r="J450" s="83">
        <v>80</v>
      </c>
      <c r="K450" s="84"/>
      <c r="L450" s="83" t="s">
        <v>12</v>
      </c>
      <c r="M450" s="83" t="s">
        <v>88</v>
      </c>
      <c r="N450" s="85">
        <v>45954</v>
      </c>
      <c r="O450" s="86" t="s">
        <v>25</v>
      </c>
      <c r="P450" s="85" t="s">
        <v>20</v>
      </c>
      <c r="Q450" s="91">
        <v>997046037</v>
      </c>
      <c r="R450" s="87"/>
      <c r="S450" s="30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</row>
    <row r="451" spans="2:37" ht="16.2" x14ac:dyDescent="0.3">
      <c r="B451" s="80">
        <v>443</v>
      </c>
      <c r="C451" s="84" t="s">
        <v>888</v>
      </c>
      <c r="D451" s="82" t="s">
        <v>889</v>
      </c>
      <c r="E451" s="83">
        <v>7591</v>
      </c>
      <c r="F451" s="83" t="s">
        <v>28</v>
      </c>
      <c r="G451" s="83" t="s">
        <v>124</v>
      </c>
      <c r="H451" s="83" t="s">
        <v>14</v>
      </c>
      <c r="I451" s="83" t="s">
        <v>21</v>
      </c>
      <c r="J451" s="83">
        <v>55</v>
      </c>
      <c r="K451" s="84"/>
      <c r="L451" s="83" t="s">
        <v>12</v>
      </c>
      <c r="M451" s="83" t="s">
        <v>88</v>
      </c>
      <c r="N451" s="85">
        <v>45954</v>
      </c>
      <c r="O451" s="86" t="s">
        <v>25</v>
      </c>
      <c r="P451" s="85" t="s">
        <v>20</v>
      </c>
      <c r="Q451" s="91">
        <v>848444945</v>
      </c>
      <c r="R451" s="87"/>
      <c r="S451" s="30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</row>
    <row r="452" spans="2:37" ht="16.2" x14ac:dyDescent="0.3">
      <c r="B452" s="80">
        <v>444</v>
      </c>
      <c r="C452" s="84" t="s">
        <v>886</v>
      </c>
      <c r="D452" s="82" t="s">
        <v>887</v>
      </c>
      <c r="E452" s="83">
        <v>7592</v>
      </c>
      <c r="F452" s="83" t="s">
        <v>16</v>
      </c>
      <c r="G452" s="83" t="s">
        <v>237</v>
      </c>
      <c r="H452" s="83" t="s">
        <v>14</v>
      </c>
      <c r="I452" s="83" t="s">
        <v>21</v>
      </c>
      <c r="J452" s="83">
        <v>55</v>
      </c>
      <c r="K452" s="84"/>
      <c r="L452" s="83" t="s">
        <v>12</v>
      </c>
      <c r="M452" s="83" t="s">
        <v>88</v>
      </c>
      <c r="N452" s="85">
        <v>45954</v>
      </c>
      <c r="O452" s="86" t="s">
        <v>25</v>
      </c>
      <c r="P452" s="85" t="s">
        <v>20</v>
      </c>
      <c r="Q452" s="91">
        <v>813800573</v>
      </c>
      <c r="R452" s="87"/>
      <c r="S452" s="30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</row>
    <row r="453" spans="2:37" ht="16.5" customHeight="1" x14ac:dyDescent="0.3">
      <c r="B453" s="80">
        <v>445</v>
      </c>
      <c r="C453" s="84" t="s">
        <v>936</v>
      </c>
      <c r="D453" s="82" t="s">
        <v>937</v>
      </c>
      <c r="E453" s="83">
        <v>7593</v>
      </c>
      <c r="F453" s="83" t="s">
        <v>28</v>
      </c>
      <c r="G453" s="83" t="s">
        <v>22</v>
      </c>
      <c r="H453" s="83" t="s">
        <v>14</v>
      </c>
      <c r="I453" s="83" t="s">
        <v>13</v>
      </c>
      <c r="J453" s="83">
        <v>45</v>
      </c>
      <c r="K453" s="84"/>
      <c r="L453" s="83" t="s">
        <v>26</v>
      </c>
      <c r="M453" s="83" t="s">
        <v>88</v>
      </c>
      <c r="N453" s="85">
        <v>45954</v>
      </c>
      <c r="O453" s="86" t="s">
        <v>10</v>
      </c>
      <c r="P453" s="85" t="s">
        <v>20</v>
      </c>
      <c r="Q453" s="91">
        <v>998277552</v>
      </c>
      <c r="R453" s="87"/>
      <c r="S453" s="30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</row>
    <row r="454" spans="2:37" ht="16.2" x14ac:dyDescent="0.3">
      <c r="B454" s="80">
        <v>446</v>
      </c>
      <c r="C454" s="84" t="s">
        <v>938</v>
      </c>
      <c r="D454" s="82" t="s">
        <v>939</v>
      </c>
      <c r="E454" s="83">
        <v>7595</v>
      </c>
      <c r="F454" s="83" t="s">
        <v>16</v>
      </c>
      <c r="G454" s="83" t="s">
        <v>201</v>
      </c>
      <c r="H454" s="83" t="s">
        <v>14</v>
      </c>
      <c r="I454" s="83" t="s">
        <v>13</v>
      </c>
      <c r="J454" s="83">
        <v>40</v>
      </c>
      <c r="K454" s="84"/>
      <c r="L454" s="83" t="s">
        <v>12</v>
      </c>
      <c r="M454" s="83" t="s">
        <v>88</v>
      </c>
      <c r="N454" s="85">
        <v>45954</v>
      </c>
      <c r="O454" s="86" t="s">
        <v>10</v>
      </c>
      <c r="P454" s="85" t="s">
        <v>9</v>
      </c>
      <c r="Q454" s="91" t="s">
        <v>940</v>
      </c>
      <c r="R454" s="87"/>
      <c r="S454" s="30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</row>
    <row r="455" spans="2:37" ht="16.2" x14ac:dyDescent="0.3">
      <c r="B455" s="80">
        <v>447</v>
      </c>
      <c r="C455" s="84" t="s">
        <v>938</v>
      </c>
      <c r="D455" s="82" t="s">
        <v>939</v>
      </c>
      <c r="E455" s="83">
        <v>7594</v>
      </c>
      <c r="F455" s="83" t="s">
        <v>16</v>
      </c>
      <c r="G455" s="83" t="s">
        <v>201</v>
      </c>
      <c r="H455" s="83" t="s">
        <v>14</v>
      </c>
      <c r="I455" s="83" t="s">
        <v>19</v>
      </c>
      <c r="J455" s="83">
        <v>20</v>
      </c>
      <c r="K455" s="84"/>
      <c r="L455" s="83" t="s">
        <v>12</v>
      </c>
      <c r="M455" s="83" t="s">
        <v>88</v>
      </c>
      <c r="N455" s="85">
        <v>45954</v>
      </c>
      <c r="O455" s="86" t="s">
        <v>10</v>
      </c>
      <c r="P455" s="85" t="s">
        <v>9</v>
      </c>
      <c r="Q455" s="91" t="s">
        <v>940</v>
      </c>
      <c r="R455" s="87"/>
      <c r="S455" s="30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</row>
    <row r="456" spans="2:37" ht="16.2" x14ac:dyDescent="0.3">
      <c r="B456" s="80">
        <v>448</v>
      </c>
      <c r="C456" s="84" t="s">
        <v>640</v>
      </c>
      <c r="D456" s="82" t="s">
        <v>639</v>
      </c>
      <c r="E456" s="83">
        <v>7589</v>
      </c>
      <c r="F456" s="83" t="s">
        <v>16</v>
      </c>
      <c r="G456" s="84" t="s">
        <v>97</v>
      </c>
      <c r="H456" s="83" t="s">
        <v>14</v>
      </c>
      <c r="I456" s="83" t="s">
        <v>103</v>
      </c>
      <c r="J456" s="83">
        <v>20</v>
      </c>
      <c r="K456" s="84"/>
      <c r="L456" s="83" t="s">
        <v>26</v>
      </c>
      <c r="M456" s="83" t="s">
        <v>88</v>
      </c>
      <c r="N456" s="85">
        <v>45954</v>
      </c>
      <c r="O456" s="86" t="s">
        <v>25</v>
      </c>
      <c r="P456" s="85" t="s">
        <v>20</v>
      </c>
      <c r="Q456" s="91">
        <v>9970189</v>
      </c>
      <c r="R456" s="87"/>
      <c r="S456" s="30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</row>
    <row r="457" spans="2:37" ht="16.2" x14ac:dyDescent="0.3">
      <c r="B457" s="80">
        <v>449</v>
      </c>
      <c r="C457" s="84" t="s">
        <v>642</v>
      </c>
      <c r="D457" s="82" t="s">
        <v>641</v>
      </c>
      <c r="E457" s="83">
        <v>7590</v>
      </c>
      <c r="F457" s="83" t="s">
        <v>28</v>
      </c>
      <c r="G457" s="83" t="s">
        <v>301</v>
      </c>
      <c r="H457" s="83" t="s">
        <v>14</v>
      </c>
      <c r="I457" s="83" t="s">
        <v>103</v>
      </c>
      <c r="J457" s="83">
        <v>20</v>
      </c>
      <c r="K457" s="84"/>
      <c r="L457" s="83" t="s">
        <v>26</v>
      </c>
      <c r="M457" s="83" t="s">
        <v>88</v>
      </c>
      <c r="N457" s="85">
        <v>45954</v>
      </c>
      <c r="O457" s="86" t="s">
        <v>25</v>
      </c>
      <c r="P457" s="85" t="s">
        <v>20</v>
      </c>
      <c r="Q457" s="91">
        <v>997018589</v>
      </c>
      <c r="R457" s="87"/>
      <c r="S457" s="30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</row>
    <row r="458" spans="2:37" ht="16.2" x14ac:dyDescent="0.3">
      <c r="B458" s="80">
        <v>450</v>
      </c>
      <c r="C458" s="84" t="s">
        <v>196</v>
      </c>
      <c r="D458" s="82" t="s">
        <v>195</v>
      </c>
      <c r="E458" s="83">
        <v>7596</v>
      </c>
      <c r="F458" s="83" t="s">
        <v>28</v>
      </c>
      <c r="G458" s="83" t="s">
        <v>124</v>
      </c>
      <c r="H458" s="83" t="s">
        <v>14</v>
      </c>
      <c r="I458" s="83" t="s">
        <v>103</v>
      </c>
      <c r="J458" s="83">
        <v>5</v>
      </c>
      <c r="K458" s="84"/>
      <c r="L458" s="83" t="s">
        <v>26</v>
      </c>
      <c r="M458" s="83" t="s">
        <v>216</v>
      </c>
      <c r="N458" s="85">
        <v>45955</v>
      </c>
      <c r="O458" s="86" t="s">
        <v>10</v>
      </c>
      <c r="P458" s="85" t="s">
        <v>20</v>
      </c>
      <c r="Q458" s="91">
        <v>826306153</v>
      </c>
      <c r="R458" s="87"/>
      <c r="S458" s="30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</row>
    <row r="459" spans="2:37" ht="16.2" x14ac:dyDescent="0.3">
      <c r="B459" s="80">
        <v>451</v>
      </c>
      <c r="C459" s="84" t="s">
        <v>941</v>
      </c>
      <c r="D459" s="82" t="s">
        <v>942</v>
      </c>
      <c r="E459" s="83">
        <v>7597</v>
      </c>
      <c r="F459" s="83" t="s">
        <v>28</v>
      </c>
      <c r="G459" s="83" t="s">
        <v>301</v>
      </c>
      <c r="H459" s="83" t="s">
        <v>14</v>
      </c>
      <c r="I459" s="83" t="s">
        <v>13</v>
      </c>
      <c r="J459" s="83">
        <v>100</v>
      </c>
      <c r="K459" s="84"/>
      <c r="L459" s="83" t="s">
        <v>12</v>
      </c>
      <c r="M459" s="83" t="s">
        <v>60</v>
      </c>
      <c r="N459" s="85">
        <v>45957</v>
      </c>
      <c r="O459" s="86" t="s">
        <v>25</v>
      </c>
      <c r="P459" s="85" t="s">
        <v>20</v>
      </c>
      <c r="Q459" s="91">
        <v>852762219</v>
      </c>
      <c r="R459" s="87"/>
      <c r="S459" s="30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</row>
    <row r="460" spans="2:37" ht="16.2" x14ac:dyDescent="0.3">
      <c r="B460" s="80">
        <v>452</v>
      </c>
      <c r="C460" s="84" t="s">
        <v>634</v>
      </c>
      <c r="D460" s="82" t="s">
        <v>633</v>
      </c>
      <c r="E460" s="83">
        <v>7598</v>
      </c>
      <c r="F460" s="83" t="s">
        <v>16</v>
      </c>
      <c r="G460" s="83" t="s">
        <v>57</v>
      </c>
      <c r="H460" s="83" t="s">
        <v>14</v>
      </c>
      <c r="I460" s="83" t="s">
        <v>13</v>
      </c>
      <c r="J460" s="83">
        <v>45</v>
      </c>
      <c r="K460" s="84"/>
      <c r="L460" s="83" t="s">
        <v>12</v>
      </c>
      <c r="M460" s="83" t="s">
        <v>60</v>
      </c>
      <c r="N460" s="85">
        <v>45957</v>
      </c>
      <c r="O460" s="86" t="s">
        <v>25</v>
      </c>
      <c r="P460" s="85" t="s">
        <v>20</v>
      </c>
      <c r="Q460" s="91">
        <v>992991808</v>
      </c>
      <c r="R460" s="87"/>
      <c r="S460" s="30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</row>
    <row r="461" spans="2:37" ht="16.2" x14ac:dyDescent="0.3">
      <c r="B461" s="80">
        <v>453</v>
      </c>
      <c r="C461" s="84" t="s">
        <v>220</v>
      </c>
      <c r="D461" s="82" t="s">
        <v>219</v>
      </c>
      <c r="E461" s="83">
        <v>7599</v>
      </c>
      <c r="F461" s="83" t="s">
        <v>28</v>
      </c>
      <c r="G461" s="83" t="s">
        <v>77</v>
      </c>
      <c r="H461" s="83" t="s">
        <v>14</v>
      </c>
      <c r="I461" s="83" t="s">
        <v>13</v>
      </c>
      <c r="J461" s="83">
        <v>40</v>
      </c>
      <c r="K461" s="84"/>
      <c r="L461" s="83" t="s">
        <v>12</v>
      </c>
      <c r="M461" s="83" t="s">
        <v>60</v>
      </c>
      <c r="N461" s="85">
        <v>45957</v>
      </c>
      <c r="O461" s="86" t="s">
        <v>10</v>
      </c>
      <c r="P461" s="85" t="s">
        <v>0</v>
      </c>
      <c r="Q461" s="91"/>
      <c r="R461" s="87"/>
      <c r="S461" s="30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</row>
    <row r="462" spans="2:37" ht="16.2" x14ac:dyDescent="0.3">
      <c r="B462" s="80">
        <v>454</v>
      </c>
      <c r="C462" s="84" t="s">
        <v>943</v>
      </c>
      <c r="D462" s="82" t="s">
        <v>944</v>
      </c>
      <c r="E462" s="83">
        <v>7600</v>
      </c>
      <c r="F462" s="83" t="s">
        <v>16</v>
      </c>
      <c r="G462" s="83" t="s">
        <v>161</v>
      </c>
      <c r="H462" s="83" t="s">
        <v>14</v>
      </c>
      <c r="I462" s="83" t="s">
        <v>13</v>
      </c>
      <c r="J462" s="83">
        <v>100</v>
      </c>
      <c r="K462" s="84"/>
      <c r="L462" s="83" t="s">
        <v>12</v>
      </c>
      <c r="M462" s="83" t="s">
        <v>60</v>
      </c>
      <c r="N462" s="85">
        <v>45957</v>
      </c>
      <c r="O462" s="86" t="s">
        <v>25</v>
      </c>
      <c r="P462" s="85" t="s">
        <v>20</v>
      </c>
      <c r="Q462" s="91">
        <v>997028183</v>
      </c>
      <c r="R462" s="87"/>
      <c r="S462" s="30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</row>
    <row r="463" spans="2:37" ht="16.2" x14ac:dyDescent="0.3">
      <c r="B463" s="80">
        <v>455</v>
      </c>
      <c r="C463" s="84" t="s">
        <v>945</v>
      </c>
      <c r="D463" s="82" t="s">
        <v>946</v>
      </c>
      <c r="E463" s="83">
        <v>7601</v>
      </c>
      <c r="F463" s="83" t="s">
        <v>28</v>
      </c>
      <c r="G463" s="84" t="s">
        <v>201</v>
      </c>
      <c r="H463" s="83" t="s">
        <v>14</v>
      </c>
      <c r="I463" s="83" t="s">
        <v>13</v>
      </c>
      <c r="J463" s="83">
        <v>50</v>
      </c>
      <c r="K463" s="84"/>
      <c r="L463" s="83" t="s">
        <v>26</v>
      </c>
      <c r="M463" s="83" t="s">
        <v>60</v>
      </c>
      <c r="N463" s="85">
        <v>45957</v>
      </c>
      <c r="O463" s="86" t="s">
        <v>10</v>
      </c>
      <c r="P463" s="85" t="s">
        <v>9</v>
      </c>
      <c r="Q463" s="91">
        <v>243852284541</v>
      </c>
      <c r="R463" s="87"/>
      <c r="S463" s="30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</row>
    <row r="464" spans="2:37" ht="16.2" x14ac:dyDescent="0.3">
      <c r="B464" s="80">
        <v>456</v>
      </c>
      <c r="C464" s="84" t="s">
        <v>947</v>
      </c>
      <c r="D464" s="82" t="s">
        <v>948</v>
      </c>
      <c r="E464" s="83">
        <v>7602</v>
      </c>
      <c r="F464" s="83" t="s">
        <v>28</v>
      </c>
      <c r="G464" s="83" t="s">
        <v>133</v>
      </c>
      <c r="H464" s="83" t="s">
        <v>14</v>
      </c>
      <c r="I464" s="83" t="s">
        <v>13</v>
      </c>
      <c r="J464" s="83">
        <v>50</v>
      </c>
      <c r="K464" s="84"/>
      <c r="L464" s="83" t="s">
        <v>12</v>
      </c>
      <c r="M464" s="83" t="s">
        <v>60</v>
      </c>
      <c r="N464" s="85">
        <v>45957</v>
      </c>
      <c r="O464" s="86" t="s">
        <v>25</v>
      </c>
      <c r="P464" s="85" t="s">
        <v>9</v>
      </c>
      <c r="Q464" s="91" t="s">
        <v>949</v>
      </c>
      <c r="R464" s="87"/>
      <c r="S464" s="30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</row>
    <row r="465" spans="2:37" ht="16.2" x14ac:dyDescent="0.3">
      <c r="B465" s="80">
        <v>457</v>
      </c>
      <c r="C465" s="84" t="s">
        <v>950</v>
      </c>
      <c r="D465" s="82" t="s">
        <v>951</v>
      </c>
      <c r="E465" s="83">
        <v>7603</v>
      </c>
      <c r="F465" s="83" t="s">
        <v>16</v>
      </c>
      <c r="G465" s="83" t="s">
        <v>80</v>
      </c>
      <c r="H465" s="83" t="s">
        <v>14</v>
      </c>
      <c r="I465" s="83" t="s">
        <v>13</v>
      </c>
      <c r="J465" s="83">
        <v>50</v>
      </c>
      <c r="K465" s="84"/>
      <c r="L465" s="83" t="s">
        <v>12</v>
      </c>
      <c r="M465" s="83" t="s">
        <v>60</v>
      </c>
      <c r="N465" s="85">
        <v>45957</v>
      </c>
      <c r="O465" s="86" t="s">
        <v>10</v>
      </c>
      <c r="P465" s="85" t="s">
        <v>9</v>
      </c>
      <c r="Q465" s="91">
        <v>243852284541</v>
      </c>
      <c r="R465" s="87" t="s">
        <v>952</v>
      </c>
      <c r="S465" s="30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</row>
    <row r="466" spans="2:37" ht="16.2" x14ac:dyDescent="0.3">
      <c r="B466" s="80">
        <v>458</v>
      </c>
      <c r="C466" s="84" t="s">
        <v>947</v>
      </c>
      <c r="D466" s="82" t="s">
        <v>948</v>
      </c>
      <c r="E466" s="83">
        <v>6599</v>
      </c>
      <c r="F466" s="83" t="s">
        <v>28</v>
      </c>
      <c r="G466" s="84" t="s">
        <v>133</v>
      </c>
      <c r="H466" s="83" t="s">
        <v>14</v>
      </c>
      <c r="I466" s="83" t="s">
        <v>19</v>
      </c>
      <c r="J466" s="83">
        <v>50</v>
      </c>
      <c r="K466" s="84"/>
      <c r="L466" s="83" t="s">
        <v>12</v>
      </c>
      <c r="M466" s="83" t="s">
        <v>49</v>
      </c>
      <c r="N466" s="85">
        <v>45930</v>
      </c>
      <c r="O466" s="86" t="s">
        <v>25</v>
      </c>
      <c r="P466" s="85" t="s">
        <v>9</v>
      </c>
      <c r="Q466" s="91" t="s">
        <v>949</v>
      </c>
      <c r="R466" s="87"/>
      <c r="S466" s="30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</row>
    <row r="467" spans="2:37" ht="16.2" x14ac:dyDescent="0.3">
      <c r="B467" s="80">
        <v>459</v>
      </c>
      <c r="C467" s="84" t="s">
        <v>950</v>
      </c>
      <c r="D467" s="82" t="s">
        <v>951</v>
      </c>
      <c r="E467" s="83">
        <v>6600</v>
      </c>
      <c r="F467" s="84" t="s">
        <v>16</v>
      </c>
      <c r="G467" s="84" t="s">
        <v>80</v>
      </c>
      <c r="H467" s="84" t="s">
        <v>14</v>
      </c>
      <c r="I467" s="84" t="s">
        <v>19</v>
      </c>
      <c r="J467" s="84">
        <v>50</v>
      </c>
      <c r="K467" s="84"/>
      <c r="L467" s="84" t="s">
        <v>12</v>
      </c>
      <c r="M467" s="84" t="s">
        <v>49</v>
      </c>
      <c r="N467" s="85">
        <v>45930</v>
      </c>
      <c r="O467" s="86" t="s">
        <v>10</v>
      </c>
      <c r="P467" s="97" t="s">
        <v>9</v>
      </c>
      <c r="Q467" s="91">
        <v>243852284541</v>
      </c>
      <c r="R467" s="91" t="s">
        <v>952</v>
      </c>
      <c r="S467" s="30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</row>
    <row r="468" spans="2:37" ht="16.2" x14ac:dyDescent="0.3">
      <c r="B468" s="80">
        <v>460</v>
      </c>
      <c r="C468" s="84" t="s">
        <v>945</v>
      </c>
      <c r="D468" s="82" t="s">
        <v>946</v>
      </c>
      <c r="E468" s="83">
        <v>6601</v>
      </c>
      <c r="F468" s="83" t="s">
        <v>28</v>
      </c>
      <c r="G468" s="83" t="s">
        <v>201</v>
      </c>
      <c r="H468" s="83" t="s">
        <v>14</v>
      </c>
      <c r="I468" s="83" t="s">
        <v>19</v>
      </c>
      <c r="J468" s="83">
        <v>50</v>
      </c>
      <c r="K468" s="84"/>
      <c r="L468" s="83" t="s">
        <v>26</v>
      </c>
      <c r="M468" s="83" t="s">
        <v>49</v>
      </c>
      <c r="N468" s="85">
        <v>45930</v>
      </c>
      <c r="O468" s="86" t="s">
        <v>10</v>
      </c>
      <c r="P468" s="85" t="s">
        <v>9</v>
      </c>
      <c r="Q468" s="91">
        <v>243852284541</v>
      </c>
      <c r="R468" s="87"/>
      <c r="S468" s="30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</row>
    <row r="469" spans="2:37" ht="16.2" x14ac:dyDescent="0.3">
      <c r="B469" s="80">
        <v>461</v>
      </c>
      <c r="C469" s="84" t="s">
        <v>953</v>
      </c>
      <c r="D469" s="82" t="s">
        <v>954</v>
      </c>
      <c r="E469" s="83">
        <v>6603</v>
      </c>
      <c r="F469" s="83" t="s">
        <v>28</v>
      </c>
      <c r="G469" s="83" t="s">
        <v>37</v>
      </c>
      <c r="H469" s="83" t="s">
        <v>14</v>
      </c>
      <c r="I469" s="83" t="s">
        <v>19</v>
      </c>
      <c r="J469" s="83">
        <v>40</v>
      </c>
      <c r="K469" s="84"/>
      <c r="L469" s="83" t="s">
        <v>12</v>
      </c>
      <c r="M469" s="83" t="s">
        <v>49</v>
      </c>
      <c r="N469" s="85">
        <v>45930</v>
      </c>
      <c r="O469" s="86" t="s">
        <v>10</v>
      </c>
      <c r="P469" s="85" t="s">
        <v>20</v>
      </c>
      <c r="Q469" s="91">
        <v>973453298</v>
      </c>
      <c r="R469" s="87"/>
      <c r="S469" s="30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</row>
    <row r="470" spans="2:37" ht="16.2" x14ac:dyDescent="0.3">
      <c r="B470" s="80">
        <v>462</v>
      </c>
      <c r="C470" s="84" t="s">
        <v>690</v>
      </c>
      <c r="D470" s="82" t="s">
        <v>689</v>
      </c>
      <c r="E470" s="83">
        <v>7604</v>
      </c>
      <c r="F470" s="84" t="s">
        <v>28</v>
      </c>
      <c r="G470" s="84" t="s">
        <v>53</v>
      </c>
      <c r="H470" s="84" t="s">
        <v>14</v>
      </c>
      <c r="I470" s="84" t="s">
        <v>13</v>
      </c>
      <c r="J470" s="84">
        <v>45</v>
      </c>
      <c r="K470" s="84"/>
      <c r="L470" s="84" t="s">
        <v>26</v>
      </c>
      <c r="M470" s="84" t="s">
        <v>49</v>
      </c>
      <c r="N470" s="85">
        <v>45958</v>
      </c>
      <c r="O470" s="86" t="s">
        <v>10</v>
      </c>
      <c r="P470" s="97" t="s">
        <v>20</v>
      </c>
      <c r="Q470" s="91">
        <v>982121790</v>
      </c>
      <c r="R470" s="91"/>
      <c r="S470" s="30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</row>
    <row r="471" spans="2:37" ht="16.2" x14ac:dyDescent="0.3">
      <c r="B471" s="80">
        <v>463</v>
      </c>
      <c r="C471" s="84" t="s">
        <v>955</v>
      </c>
      <c r="D471" s="82" t="s">
        <v>956</v>
      </c>
      <c r="E471" s="83">
        <v>7605</v>
      </c>
      <c r="F471" s="83" t="s">
        <v>28</v>
      </c>
      <c r="G471" s="83" t="s">
        <v>77</v>
      </c>
      <c r="H471" s="83" t="s">
        <v>14</v>
      </c>
      <c r="I471" s="83" t="s">
        <v>13</v>
      </c>
      <c r="J471" s="83">
        <v>40</v>
      </c>
      <c r="K471" s="84"/>
      <c r="L471" s="83" t="s">
        <v>12</v>
      </c>
      <c r="M471" s="83" t="s">
        <v>49</v>
      </c>
      <c r="N471" s="85">
        <v>45958</v>
      </c>
      <c r="O471" s="86" t="s">
        <v>25</v>
      </c>
      <c r="P471" s="85" t="s">
        <v>0</v>
      </c>
      <c r="Q471" s="91">
        <v>974451122</v>
      </c>
      <c r="R471" s="87"/>
      <c r="S471" s="30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</row>
    <row r="472" spans="2:37" ht="16.2" x14ac:dyDescent="0.3">
      <c r="B472" s="80">
        <v>464</v>
      </c>
      <c r="C472" s="84" t="s">
        <v>957</v>
      </c>
      <c r="D472" s="82" t="s">
        <v>958</v>
      </c>
      <c r="E472" s="83">
        <v>7606</v>
      </c>
      <c r="F472" s="83" t="s">
        <v>28</v>
      </c>
      <c r="G472" s="84" t="s">
        <v>37</v>
      </c>
      <c r="H472" s="83" t="s">
        <v>14</v>
      </c>
      <c r="I472" s="83" t="s">
        <v>13</v>
      </c>
      <c r="J472" s="83">
        <v>45</v>
      </c>
      <c r="K472" s="84"/>
      <c r="L472" s="83" t="s">
        <v>12</v>
      </c>
      <c r="M472" s="83" t="s">
        <v>49</v>
      </c>
      <c r="N472" s="85">
        <v>45958</v>
      </c>
      <c r="O472" s="86" t="s">
        <v>25</v>
      </c>
      <c r="P472" s="85" t="s">
        <v>20</v>
      </c>
      <c r="Q472" s="91"/>
      <c r="R472" s="87"/>
      <c r="S472" s="30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</row>
    <row r="473" spans="2:37" ht="16.2" x14ac:dyDescent="0.3">
      <c r="B473" s="80">
        <v>465</v>
      </c>
      <c r="C473" s="84" t="s">
        <v>959</v>
      </c>
      <c r="D473" s="82" t="s">
        <v>960</v>
      </c>
      <c r="E473" s="83">
        <v>7607</v>
      </c>
      <c r="F473" s="83" t="s">
        <v>16</v>
      </c>
      <c r="G473" s="83" t="s">
        <v>72</v>
      </c>
      <c r="H473" s="83" t="s">
        <v>14</v>
      </c>
      <c r="I473" s="83" t="s">
        <v>13</v>
      </c>
      <c r="J473" s="83">
        <v>55</v>
      </c>
      <c r="K473" s="84"/>
      <c r="L473" s="83" t="s">
        <v>12</v>
      </c>
      <c r="M473" s="83" t="s">
        <v>49</v>
      </c>
      <c r="N473" s="85">
        <v>45958</v>
      </c>
      <c r="O473" s="86" t="s">
        <v>25</v>
      </c>
      <c r="P473" s="85" t="s">
        <v>20</v>
      </c>
      <c r="Q473" s="91">
        <v>514080810</v>
      </c>
      <c r="R473" s="87"/>
      <c r="S473" s="30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</row>
    <row r="474" spans="2:37" ht="16.5" customHeight="1" x14ac:dyDescent="0.3">
      <c r="B474" s="80">
        <v>466</v>
      </c>
      <c r="C474" s="84" t="s">
        <v>961</v>
      </c>
      <c r="D474" s="82" t="s">
        <v>774</v>
      </c>
      <c r="E474" s="83">
        <v>7608</v>
      </c>
      <c r="F474" s="83" t="s">
        <v>16</v>
      </c>
      <c r="G474" s="83" t="s">
        <v>140</v>
      </c>
      <c r="H474" s="83" t="s">
        <v>14</v>
      </c>
      <c r="I474" s="83" t="s">
        <v>13</v>
      </c>
      <c r="J474" s="83">
        <v>55</v>
      </c>
      <c r="K474" s="84"/>
      <c r="L474" s="83" t="s">
        <v>26</v>
      </c>
      <c r="M474" s="83" t="s">
        <v>49</v>
      </c>
      <c r="N474" s="85">
        <v>45958</v>
      </c>
      <c r="O474" s="86" t="s">
        <v>10</v>
      </c>
      <c r="P474" s="85" t="s">
        <v>20</v>
      </c>
      <c r="Q474" s="91">
        <v>972432203</v>
      </c>
      <c r="R474" s="87"/>
      <c r="S474" s="30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</row>
    <row r="475" spans="2:37" ht="16.2" x14ac:dyDescent="0.3">
      <c r="B475" s="80">
        <v>467</v>
      </c>
      <c r="C475" s="84" t="s">
        <v>961</v>
      </c>
      <c r="D475" s="82" t="s">
        <v>774</v>
      </c>
      <c r="E475" s="83">
        <v>7609</v>
      </c>
      <c r="F475" s="83" t="s">
        <v>16</v>
      </c>
      <c r="G475" s="83" t="s">
        <v>140</v>
      </c>
      <c r="H475" s="83" t="s">
        <v>14</v>
      </c>
      <c r="I475" s="83" t="s">
        <v>21</v>
      </c>
      <c r="J475" s="83">
        <v>55</v>
      </c>
      <c r="K475" s="84"/>
      <c r="L475" s="83" t="s">
        <v>26</v>
      </c>
      <c r="M475" s="83" t="s">
        <v>49</v>
      </c>
      <c r="N475" s="85">
        <v>45958</v>
      </c>
      <c r="O475" s="86" t="s">
        <v>10</v>
      </c>
      <c r="P475" s="85" t="s">
        <v>20</v>
      </c>
      <c r="Q475" s="91">
        <v>972432203</v>
      </c>
      <c r="R475" s="87"/>
      <c r="S475" s="30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</row>
    <row r="476" spans="2:37" ht="16.2" x14ac:dyDescent="0.3">
      <c r="B476" s="80">
        <v>468</v>
      </c>
      <c r="C476" s="84" t="s">
        <v>961</v>
      </c>
      <c r="D476" s="82" t="s">
        <v>774</v>
      </c>
      <c r="E476" s="83">
        <v>7610</v>
      </c>
      <c r="F476" s="83" t="s">
        <v>16</v>
      </c>
      <c r="G476" s="84" t="s">
        <v>140</v>
      </c>
      <c r="H476" s="83" t="s">
        <v>14</v>
      </c>
      <c r="I476" s="83" t="s">
        <v>93</v>
      </c>
      <c r="J476" s="83">
        <v>55</v>
      </c>
      <c r="K476" s="84"/>
      <c r="L476" s="83" t="s">
        <v>26</v>
      </c>
      <c r="M476" s="83" t="s">
        <v>49</v>
      </c>
      <c r="N476" s="85">
        <v>45958</v>
      </c>
      <c r="O476" s="86" t="s">
        <v>10</v>
      </c>
      <c r="P476" s="85" t="s">
        <v>20</v>
      </c>
      <c r="Q476" s="91">
        <v>972432203</v>
      </c>
      <c r="R476" s="87"/>
      <c r="S476" s="30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</row>
    <row r="477" spans="2:37" ht="16.2" x14ac:dyDescent="0.3">
      <c r="B477" s="80">
        <v>469</v>
      </c>
      <c r="C477" s="84" t="s">
        <v>962</v>
      </c>
      <c r="D477" s="82" t="s">
        <v>963</v>
      </c>
      <c r="E477" s="83">
        <v>7611</v>
      </c>
      <c r="F477" s="83" t="s">
        <v>16</v>
      </c>
      <c r="G477" s="83" t="s">
        <v>15</v>
      </c>
      <c r="H477" s="83" t="s">
        <v>14</v>
      </c>
      <c r="I477" s="83" t="s">
        <v>13</v>
      </c>
      <c r="J477" s="83">
        <v>40</v>
      </c>
      <c r="K477" s="84"/>
      <c r="L477" s="83" t="s">
        <v>26</v>
      </c>
      <c r="M477" s="83" t="s">
        <v>11</v>
      </c>
      <c r="N477" s="85">
        <v>45959</v>
      </c>
      <c r="O477" s="86" t="s">
        <v>10</v>
      </c>
      <c r="P477" s="85" t="s">
        <v>9</v>
      </c>
      <c r="Q477" s="91">
        <v>810647636</v>
      </c>
      <c r="R477" s="87"/>
      <c r="S477" s="30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</row>
    <row r="478" spans="2:37" ht="16.2" x14ac:dyDescent="0.3">
      <c r="B478" s="80">
        <v>470</v>
      </c>
      <c r="C478" s="84" t="s">
        <v>964</v>
      </c>
      <c r="D478" s="82" t="s">
        <v>965</v>
      </c>
      <c r="E478" s="83">
        <v>7612</v>
      </c>
      <c r="F478" s="83" t="s">
        <v>28</v>
      </c>
      <c r="G478" s="83" t="s">
        <v>130</v>
      </c>
      <c r="H478" s="83" t="s">
        <v>14</v>
      </c>
      <c r="I478" s="83" t="s">
        <v>13</v>
      </c>
      <c r="J478" s="83">
        <v>55</v>
      </c>
      <c r="K478" s="84"/>
      <c r="L478" s="83" t="s">
        <v>12</v>
      </c>
      <c r="M478" s="83" t="s">
        <v>11</v>
      </c>
      <c r="N478" s="85">
        <v>45959</v>
      </c>
      <c r="O478" s="86" t="s">
        <v>10</v>
      </c>
      <c r="P478" s="85" t="s">
        <v>20</v>
      </c>
      <c r="Q478" s="91">
        <v>992489993</v>
      </c>
      <c r="R478" s="87"/>
      <c r="S478" s="30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</row>
    <row r="479" spans="2:37" ht="16.2" x14ac:dyDescent="0.3">
      <c r="B479" s="80">
        <v>471</v>
      </c>
      <c r="C479" s="84" t="s">
        <v>966</v>
      </c>
      <c r="D479" s="82" t="s">
        <v>967</v>
      </c>
      <c r="E479" s="83">
        <v>7613</v>
      </c>
      <c r="F479" s="83" t="s">
        <v>16</v>
      </c>
      <c r="G479" s="83" t="s">
        <v>201</v>
      </c>
      <c r="H479" s="83" t="s">
        <v>14</v>
      </c>
      <c r="I479" s="83" t="s">
        <v>13</v>
      </c>
      <c r="J479" s="83">
        <v>40</v>
      </c>
      <c r="K479" s="84"/>
      <c r="L479" s="83" t="s">
        <v>12</v>
      </c>
      <c r="M479" s="83" t="s">
        <v>11</v>
      </c>
      <c r="N479" s="85">
        <v>45959</v>
      </c>
      <c r="O479" s="86" t="s">
        <v>25</v>
      </c>
      <c r="P479" s="85" t="s">
        <v>9</v>
      </c>
      <c r="Q479" s="91">
        <v>997026834</v>
      </c>
      <c r="R479" s="87"/>
      <c r="S479" s="30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</row>
    <row r="480" spans="2:37" ht="16.2" x14ac:dyDescent="0.3">
      <c r="B480" s="80">
        <v>472</v>
      </c>
      <c r="C480" s="84" t="s">
        <v>968</v>
      </c>
      <c r="D480" s="82" t="s">
        <v>969</v>
      </c>
      <c r="E480" s="83">
        <v>7614</v>
      </c>
      <c r="F480" s="83" t="s">
        <v>28</v>
      </c>
      <c r="G480" s="83" t="s">
        <v>77</v>
      </c>
      <c r="H480" s="83" t="s">
        <v>14</v>
      </c>
      <c r="I480" s="83" t="s">
        <v>13</v>
      </c>
      <c r="J480" s="83">
        <v>40</v>
      </c>
      <c r="K480" s="84"/>
      <c r="L480" s="83" t="s">
        <v>12</v>
      </c>
      <c r="M480" s="83" t="s">
        <v>11</v>
      </c>
      <c r="N480" s="85">
        <v>45959</v>
      </c>
      <c r="O480" s="86" t="s">
        <v>25</v>
      </c>
      <c r="P480" s="85" t="s">
        <v>0</v>
      </c>
      <c r="Q480" s="91"/>
      <c r="R480" s="87"/>
      <c r="S480" s="30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</row>
    <row r="481" spans="2:37" ht="16.2" x14ac:dyDescent="0.3">
      <c r="B481" s="80">
        <v>473</v>
      </c>
      <c r="C481" s="84" t="s">
        <v>970</v>
      </c>
      <c r="D481" s="82" t="s">
        <v>971</v>
      </c>
      <c r="E481" s="83">
        <v>7615</v>
      </c>
      <c r="F481" s="83" t="s">
        <v>16</v>
      </c>
      <c r="G481" s="83" t="s">
        <v>40</v>
      </c>
      <c r="H481" s="83" t="s">
        <v>14</v>
      </c>
      <c r="I481" s="83" t="s">
        <v>13</v>
      </c>
      <c r="J481" s="83">
        <v>40</v>
      </c>
      <c r="K481" s="84"/>
      <c r="L481" s="83" t="s">
        <v>26</v>
      </c>
      <c r="M481" s="83" t="s">
        <v>11</v>
      </c>
      <c r="N481" s="85">
        <v>45959</v>
      </c>
      <c r="O481" s="86" t="s">
        <v>25</v>
      </c>
      <c r="P481" s="85" t="s">
        <v>0</v>
      </c>
      <c r="Q481" s="91">
        <v>812660890</v>
      </c>
      <c r="R481" s="87"/>
      <c r="S481" s="30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</row>
    <row r="482" spans="2:37" ht="16.2" x14ac:dyDescent="0.3">
      <c r="B482" s="80">
        <v>474</v>
      </c>
      <c r="C482" s="84" t="s">
        <v>972</v>
      </c>
      <c r="D482" s="82" t="s">
        <v>973</v>
      </c>
      <c r="E482" s="83">
        <v>7616</v>
      </c>
      <c r="F482" s="83" t="s">
        <v>16</v>
      </c>
      <c r="G482" s="83" t="s">
        <v>77</v>
      </c>
      <c r="H482" s="83" t="s">
        <v>14</v>
      </c>
      <c r="I482" s="83" t="s">
        <v>13</v>
      </c>
      <c r="J482" s="83">
        <v>40</v>
      </c>
      <c r="K482" s="84"/>
      <c r="L482" s="83" t="s">
        <v>26</v>
      </c>
      <c r="M482" s="83" t="s">
        <v>11</v>
      </c>
      <c r="N482" s="85">
        <v>45959</v>
      </c>
      <c r="O482" s="86" t="s">
        <v>10</v>
      </c>
      <c r="P482" s="85" t="s">
        <v>0</v>
      </c>
      <c r="Q482" s="91">
        <v>854406820</v>
      </c>
      <c r="R482" s="87"/>
      <c r="S482" s="30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</row>
    <row r="483" spans="2:37" ht="16.2" x14ac:dyDescent="0.3">
      <c r="B483" s="80">
        <v>475</v>
      </c>
      <c r="C483" s="84" t="s">
        <v>974</v>
      </c>
      <c r="D483" s="82" t="s">
        <v>975</v>
      </c>
      <c r="E483" s="83">
        <v>7617</v>
      </c>
      <c r="F483" s="83" t="s">
        <v>16</v>
      </c>
      <c r="G483" s="84" t="s">
        <v>15</v>
      </c>
      <c r="H483" s="83" t="s">
        <v>14</v>
      </c>
      <c r="I483" s="83" t="s">
        <v>19</v>
      </c>
      <c r="J483" s="83">
        <v>40</v>
      </c>
      <c r="K483" s="84"/>
      <c r="L483" s="83" t="s">
        <v>12</v>
      </c>
      <c r="M483" s="83" t="s">
        <v>11</v>
      </c>
      <c r="N483" s="85">
        <v>45959</v>
      </c>
      <c r="O483" s="86" t="s">
        <v>10</v>
      </c>
      <c r="P483" s="85" t="s">
        <v>9</v>
      </c>
      <c r="Q483" s="91" t="s">
        <v>976</v>
      </c>
      <c r="R483" s="87"/>
      <c r="S483" s="30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</row>
    <row r="484" spans="2:37" ht="16.2" customHeight="1" x14ac:dyDescent="0.3">
      <c r="B484" s="80">
        <v>476</v>
      </c>
      <c r="C484" s="84" t="s">
        <v>642</v>
      </c>
      <c r="D484" s="82" t="s">
        <v>641</v>
      </c>
      <c r="E484" s="83">
        <v>7627</v>
      </c>
      <c r="F484" s="83" t="s">
        <v>28</v>
      </c>
      <c r="G484" s="83" t="s">
        <v>301</v>
      </c>
      <c r="H484" s="83" t="s">
        <v>14</v>
      </c>
      <c r="I484" s="83" t="s">
        <v>281</v>
      </c>
      <c r="J484" s="83">
        <v>20</v>
      </c>
      <c r="K484" s="84"/>
      <c r="L484" s="83" t="s">
        <v>26</v>
      </c>
      <c r="M484" s="83" t="s">
        <v>11</v>
      </c>
      <c r="N484" s="85">
        <v>45959</v>
      </c>
      <c r="O484" s="86" t="s">
        <v>25</v>
      </c>
      <c r="P484" s="85" t="s">
        <v>20</v>
      </c>
      <c r="Q484" s="91">
        <v>997018589</v>
      </c>
      <c r="R484" s="87"/>
      <c r="S484" s="30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</row>
    <row r="485" spans="2:37" ht="16.2" customHeight="1" x14ac:dyDescent="0.3">
      <c r="B485" s="80">
        <v>477</v>
      </c>
      <c r="C485" s="84" t="s">
        <v>640</v>
      </c>
      <c r="D485" s="82" t="s">
        <v>639</v>
      </c>
      <c r="E485" s="83">
        <v>7628</v>
      </c>
      <c r="F485" s="83" t="s">
        <v>16</v>
      </c>
      <c r="G485" s="83" t="s">
        <v>97</v>
      </c>
      <c r="H485" s="83" t="s">
        <v>14</v>
      </c>
      <c r="I485" s="83" t="s">
        <v>13</v>
      </c>
      <c r="J485" s="83">
        <v>80</v>
      </c>
      <c r="K485" s="84"/>
      <c r="L485" s="83" t="s">
        <v>26</v>
      </c>
      <c r="M485" s="83" t="s">
        <v>11</v>
      </c>
      <c r="N485" s="85">
        <v>45959</v>
      </c>
      <c r="O485" s="86" t="s">
        <v>25</v>
      </c>
      <c r="P485" s="85" t="s">
        <v>20</v>
      </c>
      <c r="Q485" s="91">
        <v>9970189</v>
      </c>
      <c r="R485" s="87"/>
      <c r="S485" s="30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</row>
    <row r="486" spans="2:37" ht="16.2" customHeight="1" x14ac:dyDescent="0.3">
      <c r="B486" s="80">
        <v>478</v>
      </c>
      <c r="C486" s="84" t="s">
        <v>303</v>
      </c>
      <c r="D486" s="82" t="s">
        <v>302</v>
      </c>
      <c r="E486" s="83">
        <v>7621</v>
      </c>
      <c r="F486" s="83" t="s">
        <v>28</v>
      </c>
      <c r="G486" s="83" t="s">
        <v>301</v>
      </c>
      <c r="H486" s="83" t="s">
        <v>14</v>
      </c>
      <c r="I486" s="83" t="s">
        <v>103</v>
      </c>
      <c r="J486" s="83">
        <v>40</v>
      </c>
      <c r="K486" s="84"/>
      <c r="L486" s="83" t="s">
        <v>12</v>
      </c>
      <c r="M486" s="83" t="s">
        <v>11</v>
      </c>
      <c r="N486" s="85">
        <v>45959</v>
      </c>
      <c r="O486" s="86" t="s">
        <v>25</v>
      </c>
      <c r="P486" s="85" t="s">
        <v>20</v>
      </c>
      <c r="Q486" s="91">
        <v>852577025</v>
      </c>
      <c r="R486" s="87"/>
      <c r="S486" s="30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</row>
    <row r="487" spans="2:37" ht="16.2" customHeight="1" x14ac:dyDescent="0.3">
      <c r="B487" s="80">
        <v>479</v>
      </c>
      <c r="C487" s="84" t="s">
        <v>977</v>
      </c>
      <c r="D487" s="82" t="s">
        <v>978</v>
      </c>
      <c r="E487" s="83">
        <v>7622</v>
      </c>
      <c r="F487" s="83" t="s">
        <v>16</v>
      </c>
      <c r="G487" s="84" t="s">
        <v>174</v>
      </c>
      <c r="H487" s="83" t="s">
        <v>14</v>
      </c>
      <c r="I487" s="83" t="s">
        <v>13</v>
      </c>
      <c r="J487" s="83">
        <v>100</v>
      </c>
      <c r="K487" s="84"/>
      <c r="L487" s="83" t="s">
        <v>12</v>
      </c>
      <c r="M487" s="83" t="s">
        <v>11</v>
      </c>
      <c r="N487" s="85">
        <v>45959</v>
      </c>
      <c r="O487" s="86" t="s">
        <v>25</v>
      </c>
      <c r="P487" s="85" t="s">
        <v>20</v>
      </c>
      <c r="Q487" s="91">
        <v>812841760</v>
      </c>
      <c r="R487" s="87"/>
      <c r="S487" s="30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</row>
    <row r="488" spans="2:37" ht="16.2" x14ac:dyDescent="0.3">
      <c r="B488" s="80">
        <v>480</v>
      </c>
      <c r="C488" s="84" t="s">
        <v>953</v>
      </c>
      <c r="D488" s="82" t="s">
        <v>954</v>
      </c>
      <c r="E488" s="83">
        <v>7624</v>
      </c>
      <c r="F488" s="83" t="s">
        <v>28</v>
      </c>
      <c r="G488" s="83" t="s">
        <v>37</v>
      </c>
      <c r="H488" s="83" t="s">
        <v>14</v>
      </c>
      <c r="I488" s="83" t="s">
        <v>281</v>
      </c>
      <c r="J488" s="83">
        <v>30</v>
      </c>
      <c r="K488" s="84"/>
      <c r="L488" s="83" t="s">
        <v>12</v>
      </c>
      <c r="M488" s="83" t="s">
        <v>11</v>
      </c>
      <c r="N488" s="85">
        <v>45959</v>
      </c>
      <c r="O488" s="86" t="s">
        <v>10</v>
      </c>
      <c r="P488" s="85" t="s">
        <v>20</v>
      </c>
      <c r="Q488" s="91">
        <v>973453298</v>
      </c>
      <c r="R488" s="87"/>
      <c r="S488" s="30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</row>
    <row r="489" spans="2:37" ht="16.2" x14ac:dyDescent="0.3">
      <c r="B489" s="80">
        <v>481</v>
      </c>
      <c r="C489" s="84" t="s">
        <v>979</v>
      </c>
      <c r="D489" s="82" t="s">
        <v>980</v>
      </c>
      <c r="E489" s="83">
        <v>7623</v>
      </c>
      <c r="F489" s="83" t="s">
        <v>28</v>
      </c>
      <c r="G489" s="83" t="s">
        <v>97</v>
      </c>
      <c r="H489" s="83" t="s">
        <v>14</v>
      </c>
      <c r="I489" s="83" t="s">
        <v>13</v>
      </c>
      <c r="J489" s="83">
        <v>80</v>
      </c>
      <c r="K489" s="84"/>
      <c r="L489" s="83" t="s">
        <v>12</v>
      </c>
      <c r="M489" s="83" t="s">
        <v>11</v>
      </c>
      <c r="N489" s="85">
        <v>45959</v>
      </c>
      <c r="O489" s="86" t="s">
        <v>25</v>
      </c>
      <c r="P489" s="85" t="s">
        <v>20</v>
      </c>
      <c r="Q489" s="91">
        <v>973453298</v>
      </c>
      <c r="R489" s="87"/>
      <c r="S489" s="30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</row>
    <row r="490" spans="2:37" ht="16.2" x14ac:dyDescent="0.3">
      <c r="B490" s="80">
        <v>482</v>
      </c>
      <c r="C490" s="84" t="s">
        <v>119</v>
      </c>
      <c r="D490" s="82" t="s">
        <v>118</v>
      </c>
      <c r="E490" s="83">
        <v>7625</v>
      </c>
      <c r="F490" s="83" t="s">
        <v>16</v>
      </c>
      <c r="G490" s="83" t="s">
        <v>72</v>
      </c>
      <c r="H490" s="83" t="s">
        <v>14</v>
      </c>
      <c r="I490" s="83" t="s">
        <v>13</v>
      </c>
      <c r="J490" s="83">
        <v>55</v>
      </c>
      <c r="K490" s="84"/>
      <c r="L490" s="83" t="s">
        <v>12</v>
      </c>
      <c r="M490" s="83" t="s">
        <v>11</v>
      </c>
      <c r="N490" s="85">
        <v>45959</v>
      </c>
      <c r="O490" s="86" t="s">
        <v>25</v>
      </c>
      <c r="P490" s="85" t="s">
        <v>20</v>
      </c>
      <c r="Q490" s="91">
        <v>976768824</v>
      </c>
      <c r="R490" s="87"/>
      <c r="S490" s="30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</row>
    <row r="491" spans="2:37" ht="16.2" x14ac:dyDescent="0.3">
      <c r="B491" s="80">
        <v>483</v>
      </c>
      <c r="C491" s="84" t="s">
        <v>981</v>
      </c>
      <c r="D491" s="82" t="s">
        <v>982</v>
      </c>
      <c r="E491" s="83">
        <v>7626</v>
      </c>
      <c r="F491" s="83" t="s">
        <v>28</v>
      </c>
      <c r="G491" s="83" t="s">
        <v>34</v>
      </c>
      <c r="H491" s="83" t="s">
        <v>14</v>
      </c>
      <c r="I491" s="83" t="s">
        <v>13</v>
      </c>
      <c r="J491" s="83">
        <v>55</v>
      </c>
      <c r="K491" s="84"/>
      <c r="L491" s="83" t="s">
        <v>26</v>
      </c>
      <c r="M491" s="83" t="s">
        <v>11</v>
      </c>
      <c r="N491" s="85">
        <v>45959</v>
      </c>
      <c r="O491" s="86" t="s">
        <v>10</v>
      </c>
      <c r="P491" s="85" t="s">
        <v>20</v>
      </c>
      <c r="Q491" s="91">
        <v>977563563</v>
      </c>
      <c r="R491" s="87"/>
      <c r="S491" s="30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</row>
    <row r="492" spans="2:37" ht="16.2" customHeight="1" x14ac:dyDescent="0.3">
      <c r="B492" s="80">
        <v>484</v>
      </c>
      <c r="C492" s="84" t="s">
        <v>662</v>
      </c>
      <c r="D492" s="82" t="s">
        <v>661</v>
      </c>
      <c r="E492" s="83">
        <v>7629</v>
      </c>
      <c r="F492" s="83" t="s">
        <v>16</v>
      </c>
      <c r="G492" s="84" t="s">
        <v>83</v>
      </c>
      <c r="H492" s="83" t="s">
        <v>14</v>
      </c>
      <c r="I492" s="83" t="s">
        <v>13</v>
      </c>
      <c r="J492" s="83">
        <v>40</v>
      </c>
      <c r="K492" s="84"/>
      <c r="L492" s="83" t="s">
        <v>12</v>
      </c>
      <c r="M492" s="83" t="s">
        <v>11</v>
      </c>
      <c r="N492" s="85">
        <v>45959</v>
      </c>
      <c r="O492" s="86" t="s">
        <v>10</v>
      </c>
      <c r="P492" s="85" t="s">
        <v>9</v>
      </c>
      <c r="Q492" s="91"/>
      <c r="R492" s="87"/>
      <c r="S492" s="30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</row>
    <row r="493" spans="2:37" ht="16.2" customHeight="1" x14ac:dyDescent="0.3">
      <c r="B493" s="80">
        <v>485</v>
      </c>
      <c r="C493" s="81" t="s">
        <v>664</v>
      </c>
      <c r="D493" s="82" t="s">
        <v>663</v>
      </c>
      <c r="E493" s="83">
        <v>7630</v>
      </c>
      <c r="F493" s="83" t="s">
        <v>28</v>
      </c>
      <c r="G493" s="83" t="s">
        <v>50</v>
      </c>
      <c r="H493" s="83" t="s">
        <v>14</v>
      </c>
      <c r="I493" s="83" t="s">
        <v>13</v>
      </c>
      <c r="J493" s="83">
        <v>40</v>
      </c>
      <c r="K493" s="84"/>
      <c r="L493" s="83" t="s">
        <v>12</v>
      </c>
      <c r="M493" s="83" t="s">
        <v>11</v>
      </c>
      <c r="N493" s="85">
        <v>45959</v>
      </c>
      <c r="O493" s="86" t="s">
        <v>10</v>
      </c>
      <c r="P493" s="85" t="s">
        <v>9</v>
      </c>
      <c r="Q493" s="91"/>
      <c r="R493" s="87"/>
      <c r="S493" s="30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</row>
    <row r="494" spans="2:37" ht="16.2" customHeight="1" x14ac:dyDescent="0.3">
      <c r="B494" s="80">
        <v>486</v>
      </c>
      <c r="C494" s="81" t="s">
        <v>984</v>
      </c>
      <c r="D494" s="82" t="s">
        <v>985</v>
      </c>
      <c r="E494" s="83">
        <v>7631</v>
      </c>
      <c r="F494" s="83" t="s">
        <v>28</v>
      </c>
      <c r="G494" s="84" t="s">
        <v>106</v>
      </c>
      <c r="H494" s="83" t="s">
        <v>14</v>
      </c>
      <c r="I494" s="83" t="s">
        <v>281</v>
      </c>
      <c r="J494" s="83">
        <v>44.23</v>
      </c>
      <c r="K494" s="84"/>
      <c r="L494" s="83" t="s">
        <v>12</v>
      </c>
      <c r="M494" s="83" t="s">
        <v>11</v>
      </c>
      <c r="N494" s="85">
        <v>45959</v>
      </c>
      <c r="O494" s="86" t="s">
        <v>25</v>
      </c>
      <c r="P494" s="85" t="s">
        <v>20</v>
      </c>
      <c r="Q494" s="91">
        <v>974024842</v>
      </c>
      <c r="R494" s="87"/>
      <c r="S494" s="30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</row>
    <row r="495" spans="2:37" ht="16.2" customHeight="1" x14ac:dyDescent="0.3">
      <c r="B495" s="80">
        <v>487</v>
      </c>
      <c r="C495" s="84" t="s">
        <v>721</v>
      </c>
      <c r="D495" s="82" t="s">
        <v>720</v>
      </c>
      <c r="E495" s="83">
        <v>7632</v>
      </c>
      <c r="F495" s="83" t="s">
        <v>28</v>
      </c>
      <c r="G495" s="83" t="s">
        <v>37</v>
      </c>
      <c r="H495" s="83" t="s">
        <v>14</v>
      </c>
      <c r="I495" s="83" t="s">
        <v>13</v>
      </c>
      <c r="J495" s="83">
        <v>45</v>
      </c>
      <c r="K495" s="84"/>
      <c r="L495" s="83" t="s">
        <v>12</v>
      </c>
      <c r="M495" s="83" t="s">
        <v>60</v>
      </c>
      <c r="N495" s="85">
        <v>45964</v>
      </c>
      <c r="O495" s="86" t="s">
        <v>25</v>
      </c>
      <c r="P495" s="85" t="s">
        <v>20</v>
      </c>
      <c r="Q495" s="91" t="s">
        <v>719</v>
      </c>
      <c r="R495" s="87"/>
      <c r="S495" s="30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</row>
    <row r="496" spans="2:37" ht="16.2" customHeight="1" x14ac:dyDescent="0.3">
      <c r="B496" s="80">
        <v>488</v>
      </c>
      <c r="C496" s="84" t="s">
        <v>724</v>
      </c>
      <c r="D496" s="82" t="s">
        <v>723</v>
      </c>
      <c r="E496" s="83">
        <v>7633</v>
      </c>
      <c r="F496" s="83" t="s">
        <v>16</v>
      </c>
      <c r="G496" s="83" t="s">
        <v>53</v>
      </c>
      <c r="H496" s="83" t="s">
        <v>14</v>
      </c>
      <c r="I496" s="83" t="s">
        <v>13</v>
      </c>
      <c r="J496" s="83">
        <v>45</v>
      </c>
      <c r="K496" s="84"/>
      <c r="L496" s="83" t="s">
        <v>12</v>
      </c>
      <c r="M496" s="83" t="s">
        <v>60</v>
      </c>
      <c r="N496" s="85">
        <v>45964</v>
      </c>
      <c r="O496" s="86" t="s">
        <v>10</v>
      </c>
      <c r="P496" s="85" t="s">
        <v>20</v>
      </c>
      <c r="Q496" s="91" t="s">
        <v>722</v>
      </c>
      <c r="R496" s="87"/>
      <c r="S496" s="30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</row>
    <row r="497" spans="2:37" ht="16.2" customHeight="1" x14ac:dyDescent="0.3">
      <c r="B497" s="80">
        <v>489</v>
      </c>
      <c r="C497" s="84" t="s">
        <v>986</v>
      </c>
      <c r="D497" s="82" t="s">
        <v>987</v>
      </c>
      <c r="E497" s="83">
        <v>7634</v>
      </c>
      <c r="F497" s="83" t="s">
        <v>28</v>
      </c>
      <c r="G497" s="83" t="s">
        <v>80</v>
      </c>
      <c r="H497" s="83" t="s">
        <v>14</v>
      </c>
      <c r="I497" s="83" t="s">
        <v>13</v>
      </c>
      <c r="J497" s="83">
        <v>40</v>
      </c>
      <c r="K497" s="84"/>
      <c r="L497" s="83" t="s">
        <v>12</v>
      </c>
      <c r="M497" s="83" t="s">
        <v>60</v>
      </c>
      <c r="N497" s="85">
        <v>45964</v>
      </c>
      <c r="O497" s="86" t="s">
        <v>10</v>
      </c>
      <c r="P497" s="85" t="s">
        <v>9</v>
      </c>
      <c r="Q497" s="91">
        <v>990221542</v>
      </c>
      <c r="R497" s="87"/>
      <c r="S497" s="30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</row>
    <row r="498" spans="2:37" ht="16.2" customHeight="1" x14ac:dyDescent="0.3">
      <c r="B498" s="80">
        <v>490</v>
      </c>
      <c r="C498" s="84" t="s">
        <v>988</v>
      </c>
      <c r="D498" s="82" t="s">
        <v>989</v>
      </c>
      <c r="E498" s="83">
        <v>7635</v>
      </c>
      <c r="F498" s="83" t="s">
        <v>28</v>
      </c>
      <c r="G498" s="83" t="s">
        <v>77</v>
      </c>
      <c r="H498" s="83" t="s">
        <v>14</v>
      </c>
      <c r="I498" s="83" t="s">
        <v>13</v>
      </c>
      <c r="J498" s="83">
        <v>40</v>
      </c>
      <c r="K498" s="84"/>
      <c r="L498" s="83" t="s">
        <v>12</v>
      </c>
      <c r="M498" s="83" t="s">
        <v>60</v>
      </c>
      <c r="N498" s="85">
        <v>45964</v>
      </c>
      <c r="O498" s="86" t="s">
        <v>10</v>
      </c>
      <c r="P498" s="85" t="s">
        <v>0</v>
      </c>
      <c r="Q498" s="91">
        <v>990221542</v>
      </c>
      <c r="R498" s="87" t="s">
        <v>990</v>
      </c>
      <c r="S498" s="30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</row>
    <row r="499" spans="2:37" ht="16.2" customHeight="1" x14ac:dyDescent="0.3">
      <c r="B499" s="80">
        <v>491</v>
      </c>
      <c r="C499" s="84" t="s">
        <v>991</v>
      </c>
      <c r="D499" s="82" t="s">
        <v>992</v>
      </c>
      <c r="E499" s="83">
        <v>7636</v>
      </c>
      <c r="F499" s="83" t="s">
        <v>16</v>
      </c>
      <c r="G499" s="83" t="s">
        <v>97</v>
      </c>
      <c r="H499" s="83" t="s">
        <v>14</v>
      </c>
      <c r="I499" s="83" t="s">
        <v>13</v>
      </c>
      <c r="J499" s="83">
        <v>100</v>
      </c>
      <c r="K499" s="84"/>
      <c r="L499" s="83" t="s">
        <v>26</v>
      </c>
      <c r="M499" s="83" t="s">
        <v>60</v>
      </c>
      <c r="N499" s="85">
        <v>45964</v>
      </c>
      <c r="O499" s="86" t="s">
        <v>25</v>
      </c>
      <c r="P499" s="85" t="s">
        <v>20</v>
      </c>
      <c r="Q499" s="91">
        <v>997772713</v>
      </c>
      <c r="R499" s="87"/>
      <c r="S499" s="30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</row>
    <row r="500" spans="2:37" ht="16.2" customHeight="1" x14ac:dyDescent="0.3">
      <c r="B500" s="80">
        <v>492</v>
      </c>
      <c r="C500" s="84" t="s">
        <v>993</v>
      </c>
      <c r="D500" s="82" t="s">
        <v>994</v>
      </c>
      <c r="E500" s="100">
        <v>7637</v>
      </c>
      <c r="F500" s="99" t="s">
        <v>16</v>
      </c>
      <c r="G500" s="84" t="s">
        <v>127</v>
      </c>
      <c r="H500" s="84" t="s">
        <v>14</v>
      </c>
      <c r="I500" s="84" t="s">
        <v>13</v>
      </c>
      <c r="J500" s="84">
        <v>55</v>
      </c>
      <c r="K500" s="84"/>
      <c r="L500" s="83" t="s">
        <v>12</v>
      </c>
      <c r="M500" s="99" t="s">
        <v>60</v>
      </c>
      <c r="N500" s="85">
        <v>45964</v>
      </c>
      <c r="O500" s="86" t="s">
        <v>10</v>
      </c>
      <c r="P500" s="85" t="s">
        <v>20</v>
      </c>
      <c r="Q500" s="91">
        <v>991448596</v>
      </c>
      <c r="R500" s="87"/>
      <c r="S500" s="30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</row>
    <row r="501" spans="2:37" ht="16.2" customHeight="1" x14ac:dyDescent="0.3">
      <c r="B501" s="80">
        <v>493</v>
      </c>
      <c r="C501" s="84" t="s">
        <v>729</v>
      </c>
      <c r="D501" s="82" t="s">
        <v>728</v>
      </c>
      <c r="E501" s="83">
        <v>7638</v>
      </c>
      <c r="F501" s="83" t="s">
        <v>28</v>
      </c>
      <c r="G501" s="84" t="s">
        <v>201</v>
      </c>
      <c r="H501" s="83" t="s">
        <v>14</v>
      </c>
      <c r="I501" s="83" t="s">
        <v>13</v>
      </c>
      <c r="J501" s="83">
        <v>40</v>
      </c>
      <c r="K501" s="84"/>
      <c r="L501" s="83" t="s">
        <v>12</v>
      </c>
      <c r="M501" s="83" t="s">
        <v>60</v>
      </c>
      <c r="N501" s="85">
        <v>45964</v>
      </c>
      <c r="O501" s="86" t="s">
        <v>10</v>
      </c>
      <c r="P501" s="85" t="s">
        <v>9</v>
      </c>
      <c r="Q501" s="91" t="s">
        <v>725</v>
      </c>
      <c r="R501" s="87"/>
      <c r="S501" s="30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</row>
    <row r="502" spans="2:37" ht="16.2" customHeight="1" x14ac:dyDescent="0.3">
      <c r="B502" s="80">
        <v>494</v>
      </c>
      <c r="C502" s="84" t="s">
        <v>727</v>
      </c>
      <c r="D502" s="82" t="s">
        <v>726</v>
      </c>
      <c r="E502" s="83">
        <v>7639</v>
      </c>
      <c r="F502" s="83" t="s">
        <v>16</v>
      </c>
      <c r="G502" s="83" t="s">
        <v>237</v>
      </c>
      <c r="H502" s="83" t="s">
        <v>14</v>
      </c>
      <c r="I502" s="83" t="s">
        <v>13</v>
      </c>
      <c r="J502" s="83">
        <v>40</v>
      </c>
      <c r="K502" s="84"/>
      <c r="L502" s="83" t="s">
        <v>12</v>
      </c>
      <c r="M502" s="83" t="s">
        <v>60</v>
      </c>
      <c r="N502" s="85">
        <v>45964</v>
      </c>
      <c r="O502" s="86" t="s">
        <v>10</v>
      </c>
      <c r="P502" s="85" t="s">
        <v>20</v>
      </c>
      <c r="Q502" s="91" t="s">
        <v>725</v>
      </c>
      <c r="R502" s="87" t="s">
        <v>20</v>
      </c>
      <c r="S502" s="30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</row>
    <row r="503" spans="2:37" ht="16.2" customHeight="1" x14ac:dyDescent="0.3">
      <c r="B503" s="80">
        <v>495</v>
      </c>
      <c r="C503" s="84" t="s">
        <v>995</v>
      </c>
      <c r="D503" s="82" t="s">
        <v>996</v>
      </c>
      <c r="E503" s="83">
        <v>7640</v>
      </c>
      <c r="F503" s="83" t="s">
        <v>28</v>
      </c>
      <c r="G503" s="83" t="s">
        <v>40</v>
      </c>
      <c r="H503" s="83" t="s">
        <v>14</v>
      </c>
      <c r="I503" s="83" t="s">
        <v>13</v>
      </c>
      <c r="J503" s="83">
        <v>40</v>
      </c>
      <c r="K503" s="84"/>
      <c r="L503" s="83" t="s">
        <v>26</v>
      </c>
      <c r="M503" s="83" t="s">
        <v>60</v>
      </c>
      <c r="N503" s="85">
        <v>45964</v>
      </c>
      <c r="O503" s="86" t="s">
        <v>10</v>
      </c>
      <c r="P503" s="85" t="s">
        <v>0</v>
      </c>
      <c r="Q503" s="91"/>
      <c r="R503" s="87"/>
      <c r="S503" s="30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</row>
    <row r="504" spans="2:37" ht="16.2" customHeight="1" x14ac:dyDescent="0.3">
      <c r="B504" s="80">
        <v>496</v>
      </c>
      <c r="C504" s="84" t="s">
        <v>997</v>
      </c>
      <c r="D504" s="82" t="s">
        <v>998</v>
      </c>
      <c r="E504" s="83">
        <v>7641</v>
      </c>
      <c r="F504" s="83" t="s">
        <v>28</v>
      </c>
      <c r="G504" s="83" t="s">
        <v>77</v>
      </c>
      <c r="H504" s="83" t="s">
        <v>14</v>
      </c>
      <c r="I504" s="83" t="s">
        <v>13</v>
      </c>
      <c r="J504" s="83">
        <v>40</v>
      </c>
      <c r="K504" s="84"/>
      <c r="L504" s="83" t="s">
        <v>26</v>
      </c>
      <c r="M504" s="83" t="s">
        <v>60</v>
      </c>
      <c r="N504" s="85">
        <v>45964</v>
      </c>
      <c r="O504" s="86" t="s">
        <v>10</v>
      </c>
      <c r="P504" s="85" t="s">
        <v>0</v>
      </c>
      <c r="Q504" s="91"/>
      <c r="R504" s="87"/>
      <c r="S504" s="30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</row>
    <row r="505" spans="2:37" ht="16.2" customHeight="1" x14ac:dyDescent="0.3">
      <c r="B505" s="80">
        <v>497</v>
      </c>
      <c r="C505" s="84" t="s">
        <v>999</v>
      </c>
      <c r="D505" s="82" t="s">
        <v>1000</v>
      </c>
      <c r="E505" s="83">
        <v>7642</v>
      </c>
      <c r="F505" s="83" t="s">
        <v>28</v>
      </c>
      <c r="G505" s="84" t="s">
        <v>201</v>
      </c>
      <c r="H505" s="83" t="s">
        <v>14</v>
      </c>
      <c r="I505" s="83" t="s">
        <v>13</v>
      </c>
      <c r="J505" s="83">
        <v>40</v>
      </c>
      <c r="K505" s="84"/>
      <c r="L505" s="83" t="s">
        <v>26</v>
      </c>
      <c r="M505" s="83" t="s">
        <v>60</v>
      </c>
      <c r="N505" s="85">
        <v>45964</v>
      </c>
      <c r="O505" s="86" t="s">
        <v>25</v>
      </c>
      <c r="P505" s="85" t="s">
        <v>9</v>
      </c>
      <c r="Q505" s="91"/>
      <c r="R505" s="87"/>
      <c r="S505" s="30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</row>
    <row r="506" spans="2:37" ht="16.2" customHeight="1" x14ac:dyDescent="0.3">
      <c r="B506" s="80">
        <v>498</v>
      </c>
      <c r="C506" s="84" t="s">
        <v>1001</v>
      </c>
      <c r="D506" s="82" t="s">
        <v>1002</v>
      </c>
      <c r="E506" s="83">
        <v>7643</v>
      </c>
      <c r="F506" s="83" t="s">
        <v>16</v>
      </c>
      <c r="G506" s="83" t="s">
        <v>140</v>
      </c>
      <c r="H506" s="83" t="s">
        <v>14</v>
      </c>
      <c r="I506" s="83" t="s">
        <v>13</v>
      </c>
      <c r="J506" s="83">
        <v>55</v>
      </c>
      <c r="K506" s="84"/>
      <c r="L506" s="83" t="s">
        <v>12</v>
      </c>
      <c r="M506" s="83" t="s">
        <v>60</v>
      </c>
      <c r="N506" s="85">
        <v>45964</v>
      </c>
      <c r="O506" s="86" t="s">
        <v>10</v>
      </c>
      <c r="P506" s="85" t="s">
        <v>20</v>
      </c>
      <c r="Q506" s="91">
        <v>894388110</v>
      </c>
      <c r="R506" s="87"/>
      <c r="S506" s="30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</row>
    <row r="507" spans="2:37" ht="16.2" customHeight="1" x14ac:dyDescent="0.3">
      <c r="B507" s="80">
        <v>499</v>
      </c>
      <c r="C507" s="84" t="s">
        <v>517</v>
      </c>
      <c r="D507" s="82" t="s">
        <v>516</v>
      </c>
      <c r="E507" s="83">
        <v>7644</v>
      </c>
      <c r="F507" s="83" t="s">
        <v>28</v>
      </c>
      <c r="G507" s="83" t="s">
        <v>53</v>
      </c>
      <c r="H507" s="83" t="s">
        <v>14</v>
      </c>
      <c r="I507" s="83" t="s">
        <v>13</v>
      </c>
      <c r="J507" s="83">
        <v>45</v>
      </c>
      <c r="K507" s="84"/>
      <c r="L507" s="83" t="s">
        <v>26</v>
      </c>
      <c r="M507" s="83" t="s">
        <v>60</v>
      </c>
      <c r="N507" s="85">
        <v>45964</v>
      </c>
      <c r="O507" s="86" t="s">
        <v>10</v>
      </c>
      <c r="P507" s="85" t="s">
        <v>20</v>
      </c>
      <c r="Q507" s="91"/>
      <c r="R507" s="87"/>
      <c r="S507" s="30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</row>
    <row r="508" spans="2:37" ht="16.2" customHeight="1" x14ac:dyDescent="0.3">
      <c r="B508" s="80">
        <v>500</v>
      </c>
      <c r="C508" s="84" t="s">
        <v>515</v>
      </c>
      <c r="D508" s="82" t="s">
        <v>514</v>
      </c>
      <c r="E508" s="83">
        <v>7645</v>
      </c>
      <c r="F508" s="83" t="s">
        <v>16</v>
      </c>
      <c r="G508" s="83" t="s">
        <v>133</v>
      </c>
      <c r="H508" s="83" t="s">
        <v>14</v>
      </c>
      <c r="I508" s="83" t="s">
        <v>13</v>
      </c>
      <c r="J508" s="83">
        <v>40</v>
      </c>
      <c r="K508" s="84"/>
      <c r="L508" s="83" t="s">
        <v>26</v>
      </c>
      <c r="M508" s="83" t="s">
        <v>60</v>
      </c>
      <c r="N508" s="85">
        <v>45964</v>
      </c>
      <c r="O508" s="86" t="s">
        <v>10</v>
      </c>
      <c r="P508" s="85" t="s">
        <v>9</v>
      </c>
      <c r="Q508" s="91"/>
      <c r="R508" s="87"/>
      <c r="S508" s="30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</row>
    <row r="509" spans="2:37" ht="16.2" customHeight="1" x14ac:dyDescent="0.3">
      <c r="B509" s="80">
        <v>501</v>
      </c>
      <c r="C509" s="84" t="s">
        <v>64</v>
      </c>
      <c r="D509" s="82" t="s">
        <v>1003</v>
      </c>
      <c r="E509" s="83">
        <v>7646</v>
      </c>
      <c r="F509" s="83" t="s">
        <v>16</v>
      </c>
      <c r="G509" s="83" t="s">
        <v>15</v>
      </c>
      <c r="H509" s="83" t="s">
        <v>14</v>
      </c>
      <c r="I509" s="83" t="s">
        <v>13</v>
      </c>
      <c r="J509" s="83">
        <v>40</v>
      </c>
      <c r="K509" s="84"/>
      <c r="L509" s="83" t="s">
        <v>26</v>
      </c>
      <c r="M509" s="83" t="s">
        <v>60</v>
      </c>
      <c r="N509" s="85">
        <v>45964</v>
      </c>
      <c r="O509" s="86" t="s">
        <v>10</v>
      </c>
      <c r="P509" s="85" t="s">
        <v>9</v>
      </c>
      <c r="Q509" s="91"/>
      <c r="R509" s="87"/>
      <c r="S509" s="30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</row>
    <row r="510" spans="2:37" ht="16.2" customHeight="1" x14ac:dyDescent="0.3">
      <c r="B510" s="80">
        <v>502</v>
      </c>
      <c r="C510" s="84" t="s">
        <v>513</v>
      </c>
      <c r="D510" s="82" t="s">
        <v>512</v>
      </c>
      <c r="E510" s="83">
        <v>7647</v>
      </c>
      <c r="F510" s="83" t="s">
        <v>16</v>
      </c>
      <c r="G510" s="83" t="s">
        <v>80</v>
      </c>
      <c r="H510" s="83" t="s">
        <v>14</v>
      </c>
      <c r="I510" s="83" t="s">
        <v>13</v>
      </c>
      <c r="J510" s="83">
        <v>40</v>
      </c>
      <c r="K510" s="84"/>
      <c r="L510" s="83" t="s">
        <v>26</v>
      </c>
      <c r="M510" s="83" t="s">
        <v>60</v>
      </c>
      <c r="N510" s="85">
        <v>45964</v>
      </c>
      <c r="O510" s="86" t="s">
        <v>10</v>
      </c>
      <c r="P510" s="85" t="s">
        <v>9</v>
      </c>
      <c r="Q510" s="91"/>
      <c r="R510" s="87"/>
      <c r="S510" s="30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</row>
    <row r="511" spans="2:37" ht="16.2" customHeight="1" x14ac:dyDescent="0.3">
      <c r="B511" s="80">
        <v>503</v>
      </c>
      <c r="C511" s="84" t="s">
        <v>1004</v>
      </c>
      <c r="D511" s="82" t="s">
        <v>1005</v>
      </c>
      <c r="E511" s="83">
        <v>7648</v>
      </c>
      <c r="F511" s="83" t="s">
        <v>16</v>
      </c>
      <c r="G511" s="83" t="s">
        <v>80</v>
      </c>
      <c r="H511" s="83" t="s">
        <v>14</v>
      </c>
      <c r="I511" s="83" t="s">
        <v>13</v>
      </c>
      <c r="J511" s="83">
        <v>40</v>
      </c>
      <c r="K511" s="84"/>
      <c r="L511" s="83" t="s">
        <v>26</v>
      </c>
      <c r="M511" s="83" t="s">
        <v>60</v>
      </c>
      <c r="N511" s="85">
        <v>45964</v>
      </c>
      <c r="O511" s="86" t="s">
        <v>25</v>
      </c>
      <c r="P511" s="85" t="s">
        <v>9</v>
      </c>
      <c r="Q511" s="91">
        <v>853192131</v>
      </c>
      <c r="R511" s="87"/>
      <c r="S511" s="30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</row>
    <row r="512" spans="2:37" ht="16.2" customHeight="1" x14ac:dyDescent="0.3">
      <c r="B512" s="80">
        <v>504</v>
      </c>
      <c r="C512" s="84" t="s">
        <v>1006</v>
      </c>
      <c r="D512" s="82" t="s">
        <v>1007</v>
      </c>
      <c r="E512" s="83">
        <v>7650</v>
      </c>
      <c r="F512" s="83" t="s">
        <v>16</v>
      </c>
      <c r="G512" s="84" t="s">
        <v>83</v>
      </c>
      <c r="H512" s="83" t="s">
        <v>14</v>
      </c>
      <c r="I512" s="83" t="s">
        <v>13</v>
      </c>
      <c r="J512" s="83">
        <v>40</v>
      </c>
      <c r="K512" s="84"/>
      <c r="L512" s="83" t="s">
        <v>26</v>
      </c>
      <c r="M512" s="83" t="s">
        <v>60</v>
      </c>
      <c r="N512" s="85">
        <v>45964</v>
      </c>
      <c r="O512" s="86" t="s">
        <v>25</v>
      </c>
      <c r="P512" s="85" t="s">
        <v>9</v>
      </c>
      <c r="Q512" s="91">
        <v>853192131</v>
      </c>
      <c r="R512" s="87"/>
      <c r="S512" s="30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</row>
    <row r="513" spans="2:37" ht="16.2" customHeight="1" x14ac:dyDescent="0.3">
      <c r="B513" s="80">
        <v>505</v>
      </c>
      <c r="C513" s="84" t="s">
        <v>1008</v>
      </c>
      <c r="D513" s="82" t="s">
        <v>1009</v>
      </c>
      <c r="E513" s="83">
        <v>7651</v>
      </c>
      <c r="F513" s="83" t="s">
        <v>16</v>
      </c>
      <c r="G513" s="83" t="s">
        <v>237</v>
      </c>
      <c r="H513" s="83" t="s">
        <v>14</v>
      </c>
      <c r="I513" s="83" t="s">
        <v>13</v>
      </c>
      <c r="J513" s="83">
        <v>40</v>
      </c>
      <c r="K513" s="84"/>
      <c r="L513" s="83" t="s">
        <v>12</v>
      </c>
      <c r="M513" s="83" t="s">
        <v>60</v>
      </c>
      <c r="N513" s="85">
        <v>45964</v>
      </c>
      <c r="O513" s="86" t="s">
        <v>10</v>
      </c>
      <c r="P513" s="85" t="s">
        <v>20</v>
      </c>
      <c r="Q513" s="91">
        <v>974308989</v>
      </c>
      <c r="R513" s="87"/>
      <c r="S513" s="30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</row>
    <row r="514" spans="2:37" ht="16.2" customHeight="1" x14ac:dyDescent="0.3">
      <c r="B514" s="80">
        <v>506</v>
      </c>
      <c r="C514" s="84" t="s">
        <v>1010</v>
      </c>
      <c r="D514" s="82" t="s">
        <v>1011</v>
      </c>
      <c r="E514" s="83">
        <v>7652</v>
      </c>
      <c r="F514" s="83" t="s">
        <v>16</v>
      </c>
      <c r="G514" s="83" t="s">
        <v>273</v>
      </c>
      <c r="H514" s="83" t="s">
        <v>14</v>
      </c>
      <c r="I514" s="83" t="s">
        <v>13</v>
      </c>
      <c r="J514" s="83">
        <v>40</v>
      </c>
      <c r="K514" s="84"/>
      <c r="L514" s="83" t="s">
        <v>12</v>
      </c>
      <c r="M514" s="83" t="s">
        <v>60</v>
      </c>
      <c r="N514" s="85">
        <v>45964</v>
      </c>
      <c r="O514" s="86" t="s">
        <v>10</v>
      </c>
      <c r="P514" s="85" t="s">
        <v>20</v>
      </c>
      <c r="Q514" s="91">
        <v>974308989</v>
      </c>
      <c r="R514" s="87"/>
      <c r="S514" s="30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</row>
    <row r="515" spans="2:37" ht="16.2" customHeight="1" x14ac:dyDescent="0.3">
      <c r="B515" s="80">
        <v>507</v>
      </c>
      <c r="C515" s="84" t="s">
        <v>1012</v>
      </c>
      <c r="D515" s="82" t="s">
        <v>1013</v>
      </c>
      <c r="E515" s="83">
        <v>7653</v>
      </c>
      <c r="F515" s="83" t="s">
        <v>16</v>
      </c>
      <c r="G515" s="83" t="s">
        <v>237</v>
      </c>
      <c r="H515" s="83" t="s">
        <v>14</v>
      </c>
      <c r="I515" s="83" t="s">
        <v>19</v>
      </c>
      <c r="J515" s="83">
        <v>55</v>
      </c>
      <c r="K515" s="84"/>
      <c r="L515" s="83" t="s">
        <v>12</v>
      </c>
      <c r="M515" s="83" t="s">
        <v>60</v>
      </c>
      <c r="N515" s="85">
        <v>45964</v>
      </c>
      <c r="O515" s="86" t="s">
        <v>10</v>
      </c>
      <c r="P515" s="85" t="s">
        <v>20</v>
      </c>
      <c r="Q515" s="91">
        <v>972736784</v>
      </c>
      <c r="R515" s="87"/>
      <c r="S515" s="30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</row>
    <row r="516" spans="2:37" ht="16.2" customHeight="1" x14ac:dyDescent="0.3">
      <c r="B516" s="80">
        <v>508</v>
      </c>
      <c r="C516" s="84" t="s">
        <v>1012</v>
      </c>
      <c r="D516" s="82" t="s">
        <v>1013</v>
      </c>
      <c r="E516" s="83">
        <v>7654</v>
      </c>
      <c r="F516" s="83" t="s">
        <v>16</v>
      </c>
      <c r="G516" s="84" t="s">
        <v>237</v>
      </c>
      <c r="H516" s="83" t="s">
        <v>14</v>
      </c>
      <c r="I516" s="83" t="s">
        <v>13</v>
      </c>
      <c r="J516" s="83">
        <v>55</v>
      </c>
      <c r="K516" s="84"/>
      <c r="L516" s="83" t="s">
        <v>12</v>
      </c>
      <c r="M516" s="83" t="s">
        <v>60</v>
      </c>
      <c r="N516" s="85">
        <v>45964</v>
      </c>
      <c r="O516" s="86" t="s">
        <v>10</v>
      </c>
      <c r="P516" s="85" t="s">
        <v>20</v>
      </c>
      <c r="Q516" s="91">
        <v>972736784</v>
      </c>
      <c r="R516" s="87"/>
      <c r="S516" s="30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</row>
    <row r="517" spans="2:37" ht="16.2" customHeight="1" x14ac:dyDescent="0.3">
      <c r="B517" s="80">
        <v>509</v>
      </c>
      <c r="C517" s="84" t="s">
        <v>76</v>
      </c>
      <c r="D517" s="82" t="s">
        <v>75</v>
      </c>
      <c r="E517" s="83">
        <v>7655</v>
      </c>
      <c r="F517" s="83" t="s">
        <v>16</v>
      </c>
      <c r="G517" s="83" t="s">
        <v>31</v>
      </c>
      <c r="H517" s="83" t="s">
        <v>14</v>
      </c>
      <c r="I517" s="83" t="s">
        <v>13</v>
      </c>
      <c r="J517" s="83">
        <v>45</v>
      </c>
      <c r="K517" s="84"/>
      <c r="L517" s="83" t="s">
        <v>26</v>
      </c>
      <c r="M517" s="83" t="s">
        <v>60</v>
      </c>
      <c r="N517" s="85">
        <v>45964</v>
      </c>
      <c r="O517" s="86" t="s">
        <v>25</v>
      </c>
      <c r="P517" s="85" t="s">
        <v>20</v>
      </c>
      <c r="Q517" s="91">
        <v>978174447</v>
      </c>
      <c r="R517" s="87"/>
      <c r="S517" s="30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</row>
    <row r="518" spans="2:37" ht="16.2" customHeight="1" x14ac:dyDescent="0.3">
      <c r="B518" s="80">
        <v>510</v>
      </c>
      <c r="C518" s="84" t="s">
        <v>747</v>
      </c>
      <c r="D518" s="82" t="s">
        <v>746</v>
      </c>
      <c r="E518" s="83">
        <v>7656</v>
      </c>
      <c r="F518" s="83" t="s">
        <v>16</v>
      </c>
      <c r="G518" s="83" t="s">
        <v>34</v>
      </c>
      <c r="H518" s="83" t="s">
        <v>14</v>
      </c>
      <c r="I518" s="83" t="s">
        <v>13</v>
      </c>
      <c r="J518" s="83">
        <v>55</v>
      </c>
      <c r="K518" s="84"/>
      <c r="L518" s="83" t="s">
        <v>26</v>
      </c>
      <c r="M518" s="83" t="s">
        <v>60</v>
      </c>
      <c r="N518" s="85">
        <v>45964</v>
      </c>
      <c r="O518" s="86" t="s">
        <v>10</v>
      </c>
      <c r="P518" s="85" t="s">
        <v>20</v>
      </c>
      <c r="Q518" s="91">
        <v>892771212</v>
      </c>
      <c r="R518" s="87"/>
      <c r="S518" s="30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</row>
    <row r="519" spans="2:37" ht="16.2" customHeight="1" x14ac:dyDescent="0.3">
      <c r="B519" s="80">
        <v>511</v>
      </c>
      <c r="C519" s="84" t="s">
        <v>1014</v>
      </c>
      <c r="D519" s="82" t="s">
        <v>1015</v>
      </c>
      <c r="E519" s="83">
        <v>7657</v>
      </c>
      <c r="F519" s="83" t="s">
        <v>16</v>
      </c>
      <c r="G519" s="83" t="s">
        <v>37</v>
      </c>
      <c r="H519" s="83" t="s">
        <v>14</v>
      </c>
      <c r="I519" s="83" t="s">
        <v>13</v>
      </c>
      <c r="J519" s="83">
        <v>45</v>
      </c>
      <c r="K519" s="84"/>
      <c r="L519" s="83" t="s">
        <v>12</v>
      </c>
      <c r="M519" s="83" t="s">
        <v>60</v>
      </c>
      <c r="N519" s="85">
        <v>45964</v>
      </c>
      <c r="O519" s="86" t="s">
        <v>10</v>
      </c>
      <c r="P519" s="85" t="s">
        <v>20</v>
      </c>
      <c r="Q519" s="91" t="s">
        <v>1016</v>
      </c>
      <c r="R519" s="87"/>
      <c r="S519" s="30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</row>
    <row r="520" spans="2:37" ht="16.2" customHeight="1" x14ac:dyDescent="0.3">
      <c r="B520" s="80">
        <v>512</v>
      </c>
      <c r="C520" s="84" t="s">
        <v>1017</v>
      </c>
      <c r="D520" s="82" t="s">
        <v>1018</v>
      </c>
      <c r="E520" s="83">
        <v>7658</v>
      </c>
      <c r="F520" s="84" t="s">
        <v>28</v>
      </c>
      <c r="G520" s="84" t="s">
        <v>46</v>
      </c>
      <c r="H520" s="84" t="s">
        <v>14</v>
      </c>
      <c r="I520" s="84" t="s">
        <v>13</v>
      </c>
      <c r="J520" s="84">
        <v>40</v>
      </c>
      <c r="K520" s="84"/>
      <c r="L520" s="84" t="s">
        <v>26</v>
      </c>
      <c r="M520" s="84" t="s">
        <v>60</v>
      </c>
      <c r="N520" s="85">
        <v>45964</v>
      </c>
      <c r="O520" s="86" t="s">
        <v>10</v>
      </c>
      <c r="P520" s="97" t="s">
        <v>0</v>
      </c>
      <c r="Q520" s="91">
        <v>997233237</v>
      </c>
      <c r="R520" s="91" t="s">
        <v>20</v>
      </c>
      <c r="S520" s="30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</row>
    <row r="521" spans="2:37" ht="16.2" customHeight="1" x14ac:dyDescent="0.3">
      <c r="B521" s="80">
        <v>513</v>
      </c>
      <c r="C521" s="84" t="s">
        <v>1019</v>
      </c>
      <c r="D521" s="82" t="s">
        <v>1020</v>
      </c>
      <c r="E521" s="83">
        <v>7659</v>
      </c>
      <c r="F521" s="84" t="s">
        <v>28</v>
      </c>
      <c r="G521" s="84" t="s">
        <v>127</v>
      </c>
      <c r="H521" s="84" t="s">
        <v>14</v>
      </c>
      <c r="I521" s="84" t="s">
        <v>281</v>
      </c>
      <c r="J521" s="84">
        <v>41.53</v>
      </c>
      <c r="K521" s="84"/>
      <c r="L521" s="84" t="s">
        <v>26</v>
      </c>
      <c r="M521" s="84" t="s">
        <v>60</v>
      </c>
      <c r="N521" s="85">
        <v>45964</v>
      </c>
      <c r="O521" s="86" t="s">
        <v>25</v>
      </c>
      <c r="P521" s="97" t="s">
        <v>20</v>
      </c>
      <c r="Q521" s="91">
        <v>893640602</v>
      </c>
      <c r="R521" s="91"/>
      <c r="S521" s="30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</row>
    <row r="522" spans="2:37" ht="16.2" customHeight="1" x14ac:dyDescent="0.3">
      <c r="B522" s="80">
        <v>514</v>
      </c>
      <c r="C522" s="84" t="s">
        <v>209</v>
      </c>
      <c r="D522" s="82" t="s">
        <v>208</v>
      </c>
      <c r="E522" s="83">
        <v>7660</v>
      </c>
      <c r="F522" s="84" t="s">
        <v>16</v>
      </c>
      <c r="G522" s="84" t="s">
        <v>174</v>
      </c>
      <c r="H522" s="84" t="s">
        <v>14</v>
      </c>
      <c r="I522" s="84" t="s">
        <v>281</v>
      </c>
      <c r="J522" s="84">
        <v>80</v>
      </c>
      <c r="K522" s="84"/>
      <c r="L522" s="84" t="s">
        <v>12</v>
      </c>
      <c r="M522" s="84" t="s">
        <v>60</v>
      </c>
      <c r="N522" s="85">
        <v>45964</v>
      </c>
      <c r="O522" s="86" t="s">
        <v>25</v>
      </c>
      <c r="P522" s="97" t="s">
        <v>20</v>
      </c>
      <c r="Q522" s="91">
        <v>855770792</v>
      </c>
      <c r="R522" s="91"/>
      <c r="S522" s="30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</row>
    <row r="523" spans="2:37" ht="16.2" customHeight="1" x14ac:dyDescent="0.3">
      <c r="B523" s="80">
        <v>515</v>
      </c>
      <c r="C523" s="84" t="s">
        <v>1021</v>
      </c>
      <c r="D523" s="82" t="s">
        <v>1022</v>
      </c>
      <c r="E523" s="83">
        <v>7661</v>
      </c>
      <c r="F523" s="84" t="s">
        <v>28</v>
      </c>
      <c r="G523" s="84" t="s">
        <v>37</v>
      </c>
      <c r="H523" s="84" t="s">
        <v>14</v>
      </c>
      <c r="I523" s="84" t="s">
        <v>13</v>
      </c>
      <c r="J523" s="84">
        <v>45</v>
      </c>
      <c r="K523" s="84"/>
      <c r="L523" s="84" t="s">
        <v>26</v>
      </c>
      <c r="M523" s="84" t="s">
        <v>60</v>
      </c>
      <c r="N523" s="85">
        <v>45964</v>
      </c>
      <c r="O523" s="86" t="s">
        <v>10</v>
      </c>
      <c r="P523" s="97" t="s">
        <v>20</v>
      </c>
      <c r="Q523" s="91">
        <v>855770792</v>
      </c>
      <c r="R523" s="91"/>
      <c r="S523" s="30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</row>
    <row r="524" spans="2:37" ht="16.2" customHeight="1" x14ac:dyDescent="0.3">
      <c r="B524" s="80">
        <v>516</v>
      </c>
      <c r="C524" s="84" t="s">
        <v>1023</v>
      </c>
      <c r="D524" s="82" t="s">
        <v>1024</v>
      </c>
      <c r="E524" s="83">
        <v>7662</v>
      </c>
      <c r="F524" s="83" t="s">
        <v>16</v>
      </c>
      <c r="G524" s="83" t="s">
        <v>22</v>
      </c>
      <c r="H524" s="83" t="s">
        <v>14</v>
      </c>
      <c r="I524" s="83" t="s">
        <v>13</v>
      </c>
      <c r="J524" s="83">
        <v>45</v>
      </c>
      <c r="K524" s="84"/>
      <c r="L524" s="83" t="s">
        <v>12</v>
      </c>
      <c r="M524" s="83" t="s">
        <v>60</v>
      </c>
      <c r="N524" s="85">
        <v>45964</v>
      </c>
      <c r="O524" s="86" t="s">
        <v>10</v>
      </c>
      <c r="P524" s="85" t="s">
        <v>20</v>
      </c>
      <c r="Q524" s="91">
        <v>855770792</v>
      </c>
      <c r="R524" s="87"/>
      <c r="S524" s="30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</row>
    <row r="525" spans="2:37" ht="16.2" customHeight="1" x14ac:dyDescent="0.3">
      <c r="B525" s="80">
        <v>517</v>
      </c>
      <c r="C525" s="84" t="s">
        <v>1025</v>
      </c>
      <c r="D525" s="82" t="s">
        <v>622</v>
      </c>
      <c r="E525" s="83">
        <v>7663</v>
      </c>
      <c r="F525" s="83" t="s">
        <v>28</v>
      </c>
      <c r="G525" s="83" t="s">
        <v>57</v>
      </c>
      <c r="H525" s="83" t="s">
        <v>14</v>
      </c>
      <c r="I525" s="83" t="s">
        <v>21</v>
      </c>
      <c r="J525" s="83">
        <v>45</v>
      </c>
      <c r="K525" s="84"/>
      <c r="L525" s="83" t="s">
        <v>26</v>
      </c>
      <c r="M525" s="83" t="s">
        <v>60</v>
      </c>
      <c r="N525" s="85">
        <v>45964</v>
      </c>
      <c r="O525" s="86" t="s">
        <v>25</v>
      </c>
      <c r="P525" s="85" t="s">
        <v>20</v>
      </c>
      <c r="Q525" s="91">
        <v>998933830</v>
      </c>
      <c r="R525" s="87"/>
      <c r="S525" s="30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</row>
    <row r="526" spans="2:37" ht="16.2" customHeight="1" x14ac:dyDescent="0.3">
      <c r="B526" s="80">
        <v>518</v>
      </c>
      <c r="C526" s="84" t="s">
        <v>1025</v>
      </c>
      <c r="D526" s="82" t="s">
        <v>622</v>
      </c>
      <c r="E526" s="83">
        <v>7664</v>
      </c>
      <c r="F526" s="83" t="s">
        <v>28</v>
      </c>
      <c r="G526" s="83" t="s">
        <v>57</v>
      </c>
      <c r="H526" s="83" t="s">
        <v>14</v>
      </c>
      <c r="I526" s="83" t="s">
        <v>93</v>
      </c>
      <c r="J526" s="83">
        <v>45</v>
      </c>
      <c r="K526" s="84"/>
      <c r="L526" s="83" t="s">
        <v>26</v>
      </c>
      <c r="M526" s="83" t="s">
        <v>60</v>
      </c>
      <c r="N526" s="85">
        <v>45964</v>
      </c>
      <c r="O526" s="86" t="s">
        <v>25</v>
      </c>
      <c r="P526" s="85" t="s">
        <v>20</v>
      </c>
      <c r="Q526" s="91">
        <v>998933830</v>
      </c>
      <c r="R526" s="87"/>
      <c r="S526" s="30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</row>
    <row r="527" spans="2:37" ht="16.2" customHeight="1" x14ac:dyDescent="0.3">
      <c r="B527" s="80">
        <v>519</v>
      </c>
      <c r="C527" s="97" t="s">
        <v>1026</v>
      </c>
      <c r="D527" s="104" t="s">
        <v>1027</v>
      </c>
      <c r="E527" s="105">
        <v>7665</v>
      </c>
      <c r="F527" s="97" t="s">
        <v>28</v>
      </c>
      <c r="G527" s="97" t="s">
        <v>201</v>
      </c>
      <c r="H527" s="97" t="s">
        <v>14</v>
      </c>
      <c r="I527" s="97" t="s">
        <v>19</v>
      </c>
      <c r="J527" s="97">
        <v>35</v>
      </c>
      <c r="K527" s="97"/>
      <c r="L527" s="97" t="s">
        <v>12</v>
      </c>
      <c r="M527" s="97" t="s">
        <v>60</v>
      </c>
      <c r="N527" s="85">
        <v>45964</v>
      </c>
      <c r="O527" s="86" t="s">
        <v>10</v>
      </c>
      <c r="P527" s="97" t="s">
        <v>9</v>
      </c>
      <c r="Q527" s="91" t="s">
        <v>1028</v>
      </c>
      <c r="R527" s="91"/>
      <c r="S527" s="30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</row>
    <row r="528" spans="2:37" ht="16.2" customHeight="1" x14ac:dyDescent="0.3">
      <c r="B528" s="80">
        <v>520</v>
      </c>
      <c r="C528" s="84" t="s">
        <v>1026</v>
      </c>
      <c r="D528" s="82" t="s">
        <v>1027</v>
      </c>
      <c r="E528" s="83">
        <v>7666</v>
      </c>
      <c r="F528" s="83" t="s">
        <v>28</v>
      </c>
      <c r="G528" s="83" t="s">
        <v>201</v>
      </c>
      <c r="H528" s="83" t="s">
        <v>14</v>
      </c>
      <c r="I528" s="83" t="s">
        <v>281</v>
      </c>
      <c r="J528" s="83">
        <v>30</v>
      </c>
      <c r="K528" s="84"/>
      <c r="L528" s="83" t="s">
        <v>12</v>
      </c>
      <c r="M528" s="83" t="s">
        <v>60</v>
      </c>
      <c r="N528" s="85">
        <v>45964</v>
      </c>
      <c r="O528" s="86" t="s">
        <v>10</v>
      </c>
      <c r="P528" s="85" t="s">
        <v>9</v>
      </c>
      <c r="Q528" s="91" t="s">
        <v>1028</v>
      </c>
      <c r="R528" s="87"/>
      <c r="S528" s="30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</row>
    <row r="529" spans="2:37" ht="16.2" customHeight="1" x14ac:dyDescent="0.3">
      <c r="B529" s="80">
        <v>521</v>
      </c>
      <c r="C529" s="84" t="s">
        <v>1029</v>
      </c>
      <c r="D529" s="82" t="s">
        <v>1030</v>
      </c>
      <c r="E529" s="83">
        <v>7667</v>
      </c>
      <c r="F529" s="83" t="s">
        <v>16</v>
      </c>
      <c r="G529" s="83" t="s">
        <v>40</v>
      </c>
      <c r="H529" s="83" t="s">
        <v>14</v>
      </c>
      <c r="I529" s="83" t="s">
        <v>19</v>
      </c>
      <c r="J529" s="83">
        <v>35</v>
      </c>
      <c r="K529" s="84"/>
      <c r="L529" s="83" t="s">
        <v>26</v>
      </c>
      <c r="M529" s="83" t="s">
        <v>60</v>
      </c>
      <c r="N529" s="85">
        <v>45964</v>
      </c>
      <c r="O529" s="86" t="s">
        <v>10</v>
      </c>
      <c r="P529" s="85" t="s">
        <v>0</v>
      </c>
      <c r="Q529" s="91">
        <v>892108145</v>
      </c>
      <c r="R529" s="87"/>
      <c r="S529" s="30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</row>
    <row r="530" spans="2:37" ht="16.2" customHeight="1" x14ac:dyDescent="0.3">
      <c r="B530" s="80">
        <v>522</v>
      </c>
      <c r="C530" s="84" t="s">
        <v>1031</v>
      </c>
      <c r="D530" s="82" t="s">
        <v>1032</v>
      </c>
      <c r="E530" s="83">
        <v>7668</v>
      </c>
      <c r="F530" s="83" t="s">
        <v>16</v>
      </c>
      <c r="G530" s="83" t="s">
        <v>37</v>
      </c>
      <c r="H530" s="83" t="s">
        <v>14</v>
      </c>
      <c r="I530" s="83" t="s">
        <v>13</v>
      </c>
      <c r="J530" s="83">
        <v>45</v>
      </c>
      <c r="K530" s="84"/>
      <c r="L530" s="83" t="s">
        <v>26</v>
      </c>
      <c r="M530" s="83" t="s">
        <v>60</v>
      </c>
      <c r="N530" s="85">
        <v>45964</v>
      </c>
      <c r="O530" s="86" t="s">
        <v>10</v>
      </c>
      <c r="P530" s="85" t="s">
        <v>20</v>
      </c>
      <c r="Q530" s="91">
        <v>996931094</v>
      </c>
      <c r="R530" s="87"/>
      <c r="S530" s="30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</row>
    <row r="531" spans="2:37" ht="16.2" customHeight="1" x14ac:dyDescent="0.3">
      <c r="B531" s="80">
        <v>523</v>
      </c>
      <c r="C531" s="84" t="s">
        <v>319</v>
      </c>
      <c r="D531" s="82" t="s">
        <v>318</v>
      </c>
      <c r="E531" s="83">
        <v>7669</v>
      </c>
      <c r="F531" s="83" t="s">
        <v>28</v>
      </c>
      <c r="G531" s="83" t="s">
        <v>106</v>
      </c>
      <c r="H531" s="83" t="s">
        <v>14</v>
      </c>
      <c r="I531" s="83" t="s">
        <v>13</v>
      </c>
      <c r="J531" s="83">
        <v>100</v>
      </c>
      <c r="K531" s="84"/>
      <c r="L531" s="83" t="s">
        <v>26</v>
      </c>
      <c r="M531" s="83" t="s">
        <v>60</v>
      </c>
      <c r="N531" s="85">
        <v>45964</v>
      </c>
      <c r="O531" s="86" t="s">
        <v>25</v>
      </c>
      <c r="P531" s="85" t="s">
        <v>20</v>
      </c>
      <c r="Q531" s="91">
        <v>814094493</v>
      </c>
      <c r="R531" s="87"/>
      <c r="S531" s="30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</row>
    <row r="532" spans="2:37" ht="16.2" customHeight="1" x14ac:dyDescent="0.3">
      <c r="B532" s="80">
        <v>524</v>
      </c>
      <c r="C532" s="84" t="s">
        <v>1033</v>
      </c>
      <c r="D532" s="107" t="s">
        <v>1034</v>
      </c>
      <c r="E532" s="83">
        <v>7671</v>
      </c>
      <c r="F532" s="84" t="s">
        <v>28</v>
      </c>
      <c r="G532" s="83" t="s">
        <v>133</v>
      </c>
      <c r="H532" s="83" t="s">
        <v>14</v>
      </c>
      <c r="I532" s="84" t="s">
        <v>13</v>
      </c>
      <c r="J532" s="84">
        <v>50</v>
      </c>
      <c r="K532" s="84"/>
      <c r="L532" s="84" t="s">
        <v>12</v>
      </c>
      <c r="M532" s="84" t="s">
        <v>60</v>
      </c>
      <c r="N532" s="85">
        <v>45964</v>
      </c>
      <c r="O532" s="86" t="s">
        <v>25</v>
      </c>
      <c r="P532" s="97" t="s">
        <v>9</v>
      </c>
      <c r="Q532" s="91">
        <v>995219669</v>
      </c>
      <c r="R532" s="91"/>
      <c r="S532" s="30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</row>
    <row r="533" spans="2:37" ht="16.2" customHeight="1" x14ac:dyDescent="0.3">
      <c r="B533" s="80">
        <v>525</v>
      </c>
      <c r="C533" s="84" t="s">
        <v>1035</v>
      </c>
      <c r="D533" s="82" t="s">
        <v>1036</v>
      </c>
      <c r="E533" s="83">
        <v>7672</v>
      </c>
      <c r="F533" s="83" t="s">
        <v>16</v>
      </c>
      <c r="G533" s="84" t="s">
        <v>15</v>
      </c>
      <c r="H533" s="83" t="s">
        <v>14</v>
      </c>
      <c r="I533" s="83" t="s">
        <v>13</v>
      </c>
      <c r="J533" s="83">
        <v>50</v>
      </c>
      <c r="K533" s="84"/>
      <c r="L533" s="83" t="s">
        <v>26</v>
      </c>
      <c r="M533" s="83" t="s">
        <v>60</v>
      </c>
      <c r="N533" s="85">
        <v>45964</v>
      </c>
      <c r="O533" s="86" t="s">
        <v>25</v>
      </c>
      <c r="P533" s="85" t="s">
        <v>9</v>
      </c>
      <c r="Q533" s="91" t="s">
        <v>1037</v>
      </c>
      <c r="R533" s="87"/>
      <c r="S533" s="30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</row>
    <row r="534" spans="2:37" ht="16.2" customHeight="1" x14ac:dyDescent="0.3">
      <c r="B534" s="80">
        <v>526</v>
      </c>
      <c r="C534" s="84" t="s">
        <v>1038</v>
      </c>
      <c r="D534" s="82" t="s">
        <v>1039</v>
      </c>
      <c r="E534" s="83">
        <v>7673</v>
      </c>
      <c r="F534" s="83" t="s">
        <v>28</v>
      </c>
      <c r="G534" s="83" t="s">
        <v>201</v>
      </c>
      <c r="H534" s="83" t="s">
        <v>14</v>
      </c>
      <c r="I534" s="83" t="s">
        <v>13</v>
      </c>
      <c r="J534" s="83">
        <v>50</v>
      </c>
      <c r="K534" s="84"/>
      <c r="L534" s="83" t="s">
        <v>12</v>
      </c>
      <c r="M534" s="83" t="s">
        <v>60</v>
      </c>
      <c r="N534" s="85">
        <v>45964</v>
      </c>
      <c r="O534" s="86" t="s">
        <v>25</v>
      </c>
      <c r="P534" s="85" t="s">
        <v>9</v>
      </c>
      <c r="Q534" s="91" t="s">
        <v>1040</v>
      </c>
      <c r="R534" s="87"/>
      <c r="S534" s="30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</row>
    <row r="535" spans="2:37" ht="16.2" customHeight="1" x14ac:dyDescent="0.3">
      <c r="B535" s="80">
        <v>527</v>
      </c>
      <c r="C535" s="84" t="s">
        <v>434</v>
      </c>
      <c r="D535" s="82" t="s">
        <v>433</v>
      </c>
      <c r="E535" s="83">
        <v>7674</v>
      </c>
      <c r="F535" s="83" t="s">
        <v>28</v>
      </c>
      <c r="G535" s="83" t="s">
        <v>68</v>
      </c>
      <c r="H535" s="83" t="s">
        <v>14</v>
      </c>
      <c r="I535" s="83" t="s">
        <v>13</v>
      </c>
      <c r="J535" s="83">
        <v>55</v>
      </c>
      <c r="K535" s="84"/>
      <c r="L535" s="83" t="s">
        <v>12</v>
      </c>
      <c r="M535" s="83" t="s">
        <v>60</v>
      </c>
      <c r="N535" s="85">
        <v>45964</v>
      </c>
      <c r="O535" s="86" t="s">
        <v>25</v>
      </c>
      <c r="P535" s="85" t="s">
        <v>20</v>
      </c>
      <c r="Q535" s="91">
        <v>997658653</v>
      </c>
      <c r="R535" s="87"/>
      <c r="S535" s="30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</row>
    <row r="536" spans="2:37" ht="16.2" customHeight="1" x14ac:dyDescent="0.3">
      <c r="B536" s="80">
        <v>528</v>
      </c>
      <c r="C536" s="84" t="s">
        <v>777</v>
      </c>
      <c r="D536" s="82" t="s">
        <v>776</v>
      </c>
      <c r="E536" s="83">
        <v>7675</v>
      </c>
      <c r="F536" s="83" t="s">
        <v>16</v>
      </c>
      <c r="G536" s="83" t="s">
        <v>46</v>
      </c>
      <c r="H536" s="83" t="s">
        <v>14</v>
      </c>
      <c r="I536" s="83" t="s">
        <v>13</v>
      </c>
      <c r="J536" s="83">
        <v>40</v>
      </c>
      <c r="K536" s="84"/>
      <c r="L536" s="83" t="s">
        <v>26</v>
      </c>
      <c r="M536" s="83" t="s">
        <v>60</v>
      </c>
      <c r="N536" s="85">
        <v>45964</v>
      </c>
      <c r="O536" s="86" t="s">
        <v>10</v>
      </c>
      <c r="P536" s="85" t="s">
        <v>0</v>
      </c>
      <c r="Q536" s="91"/>
      <c r="R536" s="87"/>
      <c r="S536" s="30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</row>
    <row r="537" spans="2:37" ht="16.2" customHeight="1" x14ac:dyDescent="0.3">
      <c r="B537" s="80">
        <v>529</v>
      </c>
      <c r="C537" s="84" t="s">
        <v>1041</v>
      </c>
      <c r="D537" s="82" t="s">
        <v>1042</v>
      </c>
      <c r="E537" s="83">
        <v>7676</v>
      </c>
      <c r="F537" s="83" t="s">
        <v>16</v>
      </c>
      <c r="G537" s="83" t="s">
        <v>77</v>
      </c>
      <c r="H537" s="83" t="s">
        <v>14</v>
      </c>
      <c r="I537" s="83" t="s">
        <v>13</v>
      </c>
      <c r="J537" s="83">
        <v>40</v>
      </c>
      <c r="K537" s="84"/>
      <c r="L537" s="83" t="s">
        <v>26</v>
      </c>
      <c r="M537" s="83" t="s">
        <v>60</v>
      </c>
      <c r="N537" s="85">
        <v>45964</v>
      </c>
      <c r="O537" s="86" t="s">
        <v>25</v>
      </c>
      <c r="P537" s="85" t="s">
        <v>0</v>
      </c>
      <c r="Q537" s="91"/>
      <c r="R537" s="87"/>
      <c r="S537" s="30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</row>
    <row r="538" spans="2:37" ht="16.2" customHeight="1" x14ac:dyDescent="0.3">
      <c r="B538" s="80">
        <v>530</v>
      </c>
      <c r="C538" s="84" t="s">
        <v>779</v>
      </c>
      <c r="D538" s="82" t="s">
        <v>778</v>
      </c>
      <c r="E538" s="83">
        <v>7677</v>
      </c>
      <c r="F538" s="83" t="s">
        <v>28</v>
      </c>
      <c r="G538" s="83" t="s">
        <v>80</v>
      </c>
      <c r="H538" s="83" t="s">
        <v>14</v>
      </c>
      <c r="I538" s="83" t="s">
        <v>13</v>
      </c>
      <c r="J538" s="83">
        <v>40</v>
      </c>
      <c r="K538" s="84"/>
      <c r="L538" s="83" t="s">
        <v>26</v>
      </c>
      <c r="M538" s="83" t="s">
        <v>60</v>
      </c>
      <c r="N538" s="85">
        <v>45964</v>
      </c>
      <c r="O538" s="86" t="s">
        <v>10</v>
      </c>
      <c r="P538" s="85" t="s">
        <v>9</v>
      </c>
      <c r="Q538" s="91"/>
      <c r="R538" s="87"/>
      <c r="S538" s="30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</row>
    <row r="539" spans="2:37" ht="16.2" customHeight="1" x14ac:dyDescent="0.3">
      <c r="B539" s="80">
        <v>531</v>
      </c>
      <c r="C539" s="84" t="s">
        <v>781</v>
      </c>
      <c r="D539" s="82" t="s">
        <v>780</v>
      </c>
      <c r="E539" s="83">
        <v>7678</v>
      </c>
      <c r="F539" s="83" t="s">
        <v>28</v>
      </c>
      <c r="G539" s="84" t="s">
        <v>133</v>
      </c>
      <c r="H539" s="83" t="s">
        <v>14</v>
      </c>
      <c r="I539" s="83" t="s">
        <v>13</v>
      </c>
      <c r="J539" s="83">
        <v>40</v>
      </c>
      <c r="K539" s="84"/>
      <c r="L539" s="83" t="s">
        <v>26</v>
      </c>
      <c r="M539" s="83" t="s">
        <v>60</v>
      </c>
      <c r="N539" s="85">
        <v>45964</v>
      </c>
      <c r="O539" s="86" t="s">
        <v>10</v>
      </c>
      <c r="P539" s="85" t="s">
        <v>9</v>
      </c>
      <c r="Q539" s="91"/>
      <c r="R539" s="87"/>
      <c r="S539" s="30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</row>
    <row r="540" spans="2:37" ht="16.2" customHeight="1" x14ac:dyDescent="0.3">
      <c r="B540" s="80">
        <v>532</v>
      </c>
      <c r="C540" s="84" t="s">
        <v>619</v>
      </c>
      <c r="D540" s="82" t="s">
        <v>618</v>
      </c>
      <c r="E540" s="83">
        <v>7679</v>
      </c>
      <c r="F540" s="83" t="s">
        <v>28</v>
      </c>
      <c r="G540" s="83" t="s">
        <v>37</v>
      </c>
      <c r="H540" s="83" t="s">
        <v>14</v>
      </c>
      <c r="I540" s="83" t="s">
        <v>13</v>
      </c>
      <c r="J540" s="83">
        <v>50</v>
      </c>
      <c r="K540" s="84"/>
      <c r="L540" s="83" t="s">
        <v>12</v>
      </c>
      <c r="M540" s="83" t="s">
        <v>60</v>
      </c>
      <c r="N540" s="85">
        <v>45964</v>
      </c>
      <c r="O540" s="86" t="s">
        <v>10</v>
      </c>
      <c r="P540" s="85" t="s">
        <v>20</v>
      </c>
      <c r="Q540" s="91">
        <v>811684297</v>
      </c>
      <c r="R540" s="87"/>
      <c r="S540" s="30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</row>
    <row r="541" spans="2:37" ht="16.2" x14ac:dyDescent="0.3">
      <c r="B541" s="80">
        <v>533</v>
      </c>
      <c r="C541" s="84" t="s">
        <v>1043</v>
      </c>
      <c r="D541" s="82" t="s">
        <v>1044</v>
      </c>
      <c r="E541" s="83">
        <v>7680</v>
      </c>
      <c r="F541" s="83" t="s">
        <v>28</v>
      </c>
      <c r="G541" s="83" t="s">
        <v>301</v>
      </c>
      <c r="H541" s="83" t="s">
        <v>14</v>
      </c>
      <c r="I541" s="83" t="s">
        <v>281</v>
      </c>
      <c r="J541" s="83">
        <v>80</v>
      </c>
      <c r="K541" s="84"/>
      <c r="L541" s="83" t="s">
        <v>26</v>
      </c>
      <c r="M541" s="83" t="s">
        <v>60</v>
      </c>
      <c r="N541" s="85">
        <v>45964</v>
      </c>
      <c r="O541" s="86" t="s">
        <v>25</v>
      </c>
      <c r="P541" s="85" t="s">
        <v>20</v>
      </c>
      <c r="Q541" s="91">
        <v>243979539500</v>
      </c>
      <c r="R541" s="87"/>
      <c r="S541" s="30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</row>
    <row r="542" spans="2:37" ht="16.2" x14ac:dyDescent="0.3">
      <c r="B542" s="80">
        <v>534</v>
      </c>
      <c r="C542" s="84" t="s">
        <v>1045</v>
      </c>
      <c r="D542" s="82" t="s">
        <v>1046</v>
      </c>
      <c r="E542" s="83">
        <v>7681</v>
      </c>
      <c r="F542" s="83" t="s">
        <v>16</v>
      </c>
      <c r="G542" s="83" t="s">
        <v>50</v>
      </c>
      <c r="H542" s="83" t="s">
        <v>14</v>
      </c>
      <c r="I542" s="83" t="s">
        <v>13</v>
      </c>
      <c r="J542" s="83">
        <v>40</v>
      </c>
      <c r="K542" s="84"/>
      <c r="L542" s="83" t="s">
        <v>12</v>
      </c>
      <c r="M542" s="83" t="s">
        <v>60</v>
      </c>
      <c r="N542" s="85">
        <v>45964</v>
      </c>
      <c r="O542" s="86" t="s">
        <v>25</v>
      </c>
      <c r="P542" s="85" t="s">
        <v>9</v>
      </c>
      <c r="Q542" s="91" t="s">
        <v>1047</v>
      </c>
      <c r="R542" s="87"/>
      <c r="S542" s="30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</row>
    <row r="543" spans="2:37" ht="16.2" x14ac:dyDescent="0.3">
      <c r="B543" s="80">
        <v>535</v>
      </c>
      <c r="C543" s="84" t="s">
        <v>1048</v>
      </c>
      <c r="D543" s="82" t="s">
        <v>1049</v>
      </c>
      <c r="E543" s="83">
        <v>7682</v>
      </c>
      <c r="F543" s="83" t="s">
        <v>28</v>
      </c>
      <c r="G543" s="83" t="s">
        <v>77</v>
      </c>
      <c r="H543" s="83" t="s">
        <v>14</v>
      </c>
      <c r="I543" s="83" t="s">
        <v>13</v>
      </c>
      <c r="J543" s="83">
        <v>40</v>
      </c>
      <c r="K543" s="84"/>
      <c r="L543" s="83" t="s">
        <v>12</v>
      </c>
      <c r="M543" s="83" t="s">
        <v>60</v>
      </c>
      <c r="N543" s="85">
        <v>45964</v>
      </c>
      <c r="O543" s="86" t="s">
        <v>25</v>
      </c>
      <c r="P543" s="85" t="s">
        <v>0</v>
      </c>
      <c r="Q543" s="91">
        <v>998183707</v>
      </c>
      <c r="R543" s="87"/>
      <c r="S543" s="30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</row>
    <row r="544" spans="2:37" ht="16.2" x14ac:dyDescent="0.3">
      <c r="B544" s="80">
        <v>536</v>
      </c>
      <c r="C544" s="84" t="s">
        <v>936</v>
      </c>
      <c r="D544" s="82" t="s">
        <v>937</v>
      </c>
      <c r="E544" s="83">
        <v>7683</v>
      </c>
      <c r="F544" s="83" t="s">
        <v>28</v>
      </c>
      <c r="G544" s="83" t="s">
        <v>22</v>
      </c>
      <c r="H544" s="83" t="s">
        <v>14</v>
      </c>
      <c r="I544" s="83" t="s">
        <v>21</v>
      </c>
      <c r="J544" s="83">
        <v>45</v>
      </c>
      <c r="K544" s="84"/>
      <c r="L544" s="83" t="s">
        <v>26</v>
      </c>
      <c r="M544" s="83" t="s">
        <v>60</v>
      </c>
      <c r="N544" s="85">
        <v>45964</v>
      </c>
      <c r="O544" s="86" t="s">
        <v>10</v>
      </c>
      <c r="P544" s="85" t="s">
        <v>20</v>
      </c>
      <c r="Q544" s="91">
        <v>998277552</v>
      </c>
      <c r="R544" s="87"/>
      <c r="S544" s="30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</row>
    <row r="545" spans="2:37" ht="16.2" x14ac:dyDescent="0.3">
      <c r="B545" s="80">
        <v>537</v>
      </c>
      <c r="C545" s="84" t="s">
        <v>481</v>
      </c>
      <c r="D545" s="82" t="s">
        <v>480</v>
      </c>
      <c r="E545" s="83">
        <v>7684</v>
      </c>
      <c r="F545" s="83" t="s">
        <v>28</v>
      </c>
      <c r="G545" s="83" t="s">
        <v>106</v>
      </c>
      <c r="H545" s="83" t="s">
        <v>14</v>
      </c>
      <c r="I545" s="83" t="s">
        <v>13</v>
      </c>
      <c r="J545" s="83">
        <v>100</v>
      </c>
      <c r="K545" s="84"/>
      <c r="L545" s="83" t="s">
        <v>26</v>
      </c>
      <c r="M545" s="83" t="s">
        <v>60</v>
      </c>
      <c r="N545" s="85">
        <v>45964</v>
      </c>
      <c r="O545" s="86" t="s">
        <v>25</v>
      </c>
      <c r="P545" s="85" t="s">
        <v>20</v>
      </c>
      <c r="Q545" s="91">
        <v>243995030005</v>
      </c>
      <c r="R545" s="87"/>
      <c r="S545" s="30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</row>
    <row r="546" spans="2:37" ht="16.2" x14ac:dyDescent="0.3">
      <c r="B546" s="80">
        <v>538</v>
      </c>
      <c r="C546" s="84" t="s">
        <v>701</v>
      </c>
      <c r="D546" s="82" t="s">
        <v>700</v>
      </c>
      <c r="E546" s="83">
        <v>7685</v>
      </c>
      <c r="F546" s="83" t="s">
        <v>28</v>
      </c>
      <c r="G546" s="84" t="s">
        <v>31</v>
      </c>
      <c r="H546" s="83" t="s">
        <v>14</v>
      </c>
      <c r="I546" s="83" t="s">
        <v>13</v>
      </c>
      <c r="J546" s="83">
        <v>45</v>
      </c>
      <c r="K546" s="84"/>
      <c r="L546" s="83" t="s">
        <v>12</v>
      </c>
      <c r="M546" s="83" t="s">
        <v>60</v>
      </c>
      <c r="N546" s="85">
        <v>45964</v>
      </c>
      <c r="O546" s="86" t="s">
        <v>10</v>
      </c>
      <c r="P546" s="85" t="s">
        <v>20</v>
      </c>
      <c r="Q546" s="91">
        <v>840943022</v>
      </c>
      <c r="R546" s="87"/>
      <c r="S546" s="30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</row>
    <row r="547" spans="2:37" ht="16.2" customHeight="1" x14ac:dyDescent="0.3">
      <c r="B547" s="80">
        <v>539</v>
      </c>
      <c r="C547" s="84" t="s">
        <v>703</v>
      </c>
      <c r="D547" s="82" t="s">
        <v>702</v>
      </c>
      <c r="E547" s="83">
        <v>7686</v>
      </c>
      <c r="F547" s="83" t="s">
        <v>16</v>
      </c>
      <c r="G547" s="83" t="s">
        <v>22</v>
      </c>
      <c r="H547" s="83" t="s">
        <v>14</v>
      </c>
      <c r="I547" s="83" t="s">
        <v>13</v>
      </c>
      <c r="J547" s="83">
        <v>45</v>
      </c>
      <c r="K547" s="84"/>
      <c r="L547" s="83" t="s">
        <v>26</v>
      </c>
      <c r="M547" s="83" t="s">
        <v>60</v>
      </c>
      <c r="N547" s="85">
        <v>45964</v>
      </c>
      <c r="O547" s="86" t="s">
        <v>10</v>
      </c>
      <c r="P547" s="85" t="s">
        <v>20</v>
      </c>
      <c r="Q547" s="91">
        <v>840943022</v>
      </c>
      <c r="R547" s="87"/>
      <c r="S547" s="30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</row>
    <row r="548" spans="2:37" ht="16.2" customHeight="1" x14ac:dyDescent="0.3">
      <c r="B548" s="80">
        <v>540</v>
      </c>
      <c r="C548" s="84" t="s">
        <v>1050</v>
      </c>
      <c r="D548" s="82" t="s">
        <v>707</v>
      </c>
      <c r="E548" s="83">
        <v>7687</v>
      </c>
      <c r="F548" s="83" t="s">
        <v>28</v>
      </c>
      <c r="G548" s="83" t="s">
        <v>15</v>
      </c>
      <c r="H548" s="83" t="s">
        <v>14</v>
      </c>
      <c r="I548" s="83" t="s">
        <v>13</v>
      </c>
      <c r="J548" s="83">
        <v>40</v>
      </c>
      <c r="K548" s="84"/>
      <c r="L548" s="83" t="s">
        <v>26</v>
      </c>
      <c r="M548" s="83" t="s">
        <v>60</v>
      </c>
      <c r="N548" s="85">
        <v>45964</v>
      </c>
      <c r="O548" s="86" t="s">
        <v>10</v>
      </c>
      <c r="P548" s="85" t="s">
        <v>9</v>
      </c>
      <c r="Q548" s="91">
        <v>840943022</v>
      </c>
      <c r="R548" s="87"/>
      <c r="S548" s="30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</row>
    <row r="549" spans="2:37" ht="16.2" customHeight="1" x14ac:dyDescent="0.3">
      <c r="B549" s="80">
        <v>541</v>
      </c>
      <c r="C549" s="84" t="s">
        <v>705</v>
      </c>
      <c r="D549" s="82" t="s">
        <v>704</v>
      </c>
      <c r="E549" s="83">
        <v>7688</v>
      </c>
      <c r="F549" s="83" t="s">
        <v>28</v>
      </c>
      <c r="G549" s="83" t="s">
        <v>80</v>
      </c>
      <c r="H549" s="83" t="s">
        <v>14</v>
      </c>
      <c r="I549" s="83" t="s">
        <v>13</v>
      </c>
      <c r="J549" s="83">
        <v>40</v>
      </c>
      <c r="K549" s="84"/>
      <c r="L549" s="83" t="s">
        <v>26</v>
      </c>
      <c r="M549" s="83" t="s">
        <v>60</v>
      </c>
      <c r="N549" s="85">
        <v>45964</v>
      </c>
      <c r="O549" s="86" t="s">
        <v>25</v>
      </c>
      <c r="P549" s="85" t="s">
        <v>9</v>
      </c>
      <c r="Q549" s="91">
        <v>840943022</v>
      </c>
      <c r="R549" s="87"/>
      <c r="S549" s="30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</row>
    <row r="550" spans="2:37" ht="16.2" customHeight="1" x14ac:dyDescent="0.3">
      <c r="B550" s="80">
        <v>542</v>
      </c>
      <c r="C550" s="84" t="s">
        <v>1051</v>
      </c>
      <c r="D550" s="82" t="s">
        <v>1052</v>
      </c>
      <c r="E550" s="83">
        <v>7689</v>
      </c>
      <c r="F550" s="83" t="s">
        <v>16</v>
      </c>
      <c r="G550" s="84" t="s">
        <v>1053</v>
      </c>
      <c r="H550" s="83" t="s">
        <v>14</v>
      </c>
      <c r="I550" s="83" t="s">
        <v>13</v>
      </c>
      <c r="J550" s="83">
        <v>45</v>
      </c>
      <c r="K550" s="84"/>
      <c r="L550" s="83" t="s">
        <v>26</v>
      </c>
      <c r="M550" s="83" t="s">
        <v>60</v>
      </c>
      <c r="N550" s="85">
        <v>45964</v>
      </c>
      <c r="O550" s="86" t="s">
        <v>10</v>
      </c>
      <c r="P550" s="85" t="s">
        <v>20</v>
      </c>
      <c r="Q550" s="91"/>
      <c r="R550" s="87"/>
      <c r="S550" s="30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</row>
    <row r="551" spans="2:37" ht="16.2" customHeight="1" x14ac:dyDescent="0.3">
      <c r="B551" s="80">
        <v>543</v>
      </c>
      <c r="C551" s="84" t="s">
        <v>1054</v>
      </c>
      <c r="D551" s="82" t="s">
        <v>1055</v>
      </c>
      <c r="E551" s="83">
        <v>7690</v>
      </c>
      <c r="F551" s="83" t="s">
        <v>28</v>
      </c>
      <c r="G551" s="83" t="s">
        <v>161</v>
      </c>
      <c r="H551" s="83" t="s">
        <v>14</v>
      </c>
      <c r="I551" s="83" t="s">
        <v>281</v>
      </c>
      <c r="J551" s="83">
        <v>80</v>
      </c>
      <c r="K551" s="84"/>
      <c r="L551" s="83" t="s">
        <v>12</v>
      </c>
      <c r="M551" s="83" t="s">
        <v>60</v>
      </c>
      <c r="N551" s="85">
        <v>45964</v>
      </c>
      <c r="O551" s="86" t="s">
        <v>25</v>
      </c>
      <c r="P551" s="85" t="s">
        <v>20</v>
      </c>
      <c r="Q551" s="91">
        <v>854690442</v>
      </c>
      <c r="R551" s="87"/>
      <c r="S551" s="30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</row>
    <row r="552" spans="2:37" ht="16.2" customHeight="1" x14ac:dyDescent="0.3">
      <c r="B552" s="80">
        <v>544</v>
      </c>
      <c r="C552" s="84" t="s">
        <v>507</v>
      </c>
      <c r="D552" s="82" t="s">
        <v>506</v>
      </c>
      <c r="E552" s="83">
        <v>7691</v>
      </c>
      <c r="F552" s="83" t="s">
        <v>16</v>
      </c>
      <c r="G552" s="83" t="s">
        <v>140</v>
      </c>
      <c r="H552" s="83" t="s">
        <v>14</v>
      </c>
      <c r="I552" s="83" t="s">
        <v>13</v>
      </c>
      <c r="J552" s="83">
        <v>55</v>
      </c>
      <c r="K552" s="84"/>
      <c r="L552" s="83" t="s">
        <v>12</v>
      </c>
      <c r="M552" s="83" t="s">
        <v>60</v>
      </c>
      <c r="N552" s="85">
        <v>45964</v>
      </c>
      <c r="O552" s="86" t="s">
        <v>25</v>
      </c>
      <c r="P552" s="85" t="s">
        <v>20</v>
      </c>
      <c r="Q552" s="91">
        <v>854690442</v>
      </c>
      <c r="R552" s="87"/>
      <c r="S552" s="30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</row>
    <row r="553" spans="2:37" ht="16.2" customHeight="1" x14ac:dyDescent="0.3">
      <c r="B553" s="80">
        <v>545</v>
      </c>
      <c r="C553" s="81" t="s">
        <v>1056</v>
      </c>
      <c r="D553" s="82" t="s">
        <v>1057</v>
      </c>
      <c r="E553" s="83">
        <v>7649</v>
      </c>
      <c r="F553" s="83" t="s">
        <v>16</v>
      </c>
      <c r="G553" s="83" t="s">
        <v>150</v>
      </c>
      <c r="H553" s="83" t="s">
        <v>14</v>
      </c>
      <c r="I553" s="83" t="s">
        <v>281</v>
      </c>
      <c r="J553" s="83">
        <v>40</v>
      </c>
      <c r="K553" s="84"/>
      <c r="L553" s="83" t="s">
        <v>26</v>
      </c>
      <c r="M553" s="83" t="s">
        <v>60</v>
      </c>
      <c r="N553" s="85">
        <v>45964</v>
      </c>
      <c r="O553" s="86" t="s">
        <v>10</v>
      </c>
      <c r="P553" s="85" t="s">
        <v>20</v>
      </c>
      <c r="Q553" s="91">
        <v>853192131</v>
      </c>
      <c r="R553" s="87"/>
      <c r="S553" s="30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</row>
    <row r="554" spans="2:37" ht="16.2" x14ac:dyDescent="0.3">
      <c r="B554" s="80">
        <v>546</v>
      </c>
      <c r="C554" s="84" t="s">
        <v>160</v>
      </c>
      <c r="D554" s="82" t="s">
        <v>159</v>
      </c>
      <c r="E554" s="83">
        <v>7692</v>
      </c>
      <c r="F554" s="83" t="s">
        <v>28</v>
      </c>
      <c r="G554" s="83" t="s">
        <v>97</v>
      </c>
      <c r="H554" s="83" t="s">
        <v>14</v>
      </c>
      <c r="I554" s="83" t="s">
        <v>281</v>
      </c>
      <c r="J554" s="83">
        <v>80</v>
      </c>
      <c r="K554" s="84"/>
      <c r="L554" s="83" t="s">
        <v>26</v>
      </c>
      <c r="M554" s="83" t="s">
        <v>49</v>
      </c>
      <c r="N554" s="85">
        <v>45965</v>
      </c>
      <c r="O554" s="86" t="s">
        <v>25</v>
      </c>
      <c r="P554" s="85" t="s">
        <v>20</v>
      </c>
      <c r="Q554" s="91">
        <v>902793844</v>
      </c>
      <c r="R554" s="87"/>
      <c r="S554" s="30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</row>
    <row r="555" spans="2:37" ht="16.2" x14ac:dyDescent="0.3">
      <c r="B555" s="80">
        <v>547</v>
      </c>
      <c r="C555" s="84" t="s">
        <v>160</v>
      </c>
      <c r="D555" s="82" t="s">
        <v>159</v>
      </c>
      <c r="E555" s="83">
        <v>7693</v>
      </c>
      <c r="F555" s="83" t="s">
        <v>28</v>
      </c>
      <c r="G555" s="83" t="s">
        <v>97</v>
      </c>
      <c r="H555" s="83" t="s">
        <v>14</v>
      </c>
      <c r="I555" s="83" t="s">
        <v>103</v>
      </c>
      <c r="J555" s="83">
        <v>10</v>
      </c>
      <c r="K555" s="84"/>
      <c r="L555" s="83" t="s">
        <v>26</v>
      </c>
      <c r="M555" s="83" t="s">
        <v>49</v>
      </c>
      <c r="N555" s="85">
        <v>45965</v>
      </c>
      <c r="O555" s="86" t="s">
        <v>25</v>
      </c>
      <c r="P555" s="85" t="s">
        <v>20</v>
      </c>
      <c r="Q555" s="91">
        <v>902793844</v>
      </c>
      <c r="R555" s="87"/>
      <c r="S555" s="30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</row>
    <row r="556" spans="2:37" ht="16.2" customHeight="1" x14ac:dyDescent="0.3">
      <c r="B556" s="80">
        <v>548</v>
      </c>
      <c r="C556" s="84" t="s">
        <v>1058</v>
      </c>
      <c r="D556" s="82" t="s">
        <v>685</v>
      </c>
      <c r="E556" s="83">
        <v>7694</v>
      </c>
      <c r="F556" s="83" t="s">
        <v>16</v>
      </c>
      <c r="G556" s="83" t="s">
        <v>174</v>
      </c>
      <c r="H556" s="83" t="s">
        <v>14</v>
      </c>
      <c r="I556" s="83" t="s">
        <v>281</v>
      </c>
      <c r="J556" s="83">
        <v>80</v>
      </c>
      <c r="K556" s="84"/>
      <c r="L556" s="83" t="s">
        <v>26</v>
      </c>
      <c r="M556" s="83" t="s">
        <v>49</v>
      </c>
      <c r="N556" s="85">
        <v>45965</v>
      </c>
      <c r="O556" s="86" t="s">
        <v>25</v>
      </c>
      <c r="P556" s="85" t="s">
        <v>20</v>
      </c>
      <c r="Q556" s="91"/>
      <c r="R556" s="87"/>
      <c r="S556" s="30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</row>
    <row r="557" spans="2:37" ht="16.2" customHeight="1" x14ac:dyDescent="0.3">
      <c r="B557" s="80">
        <v>549</v>
      </c>
      <c r="C557" s="84" t="s">
        <v>941</v>
      </c>
      <c r="D557" s="82" t="s">
        <v>942</v>
      </c>
      <c r="E557" s="83">
        <v>7695</v>
      </c>
      <c r="F557" s="83" t="s">
        <v>28</v>
      </c>
      <c r="G557" s="84" t="s">
        <v>301</v>
      </c>
      <c r="H557" s="83" t="s">
        <v>14</v>
      </c>
      <c r="I557" s="83" t="s">
        <v>21</v>
      </c>
      <c r="J557" s="83">
        <v>100</v>
      </c>
      <c r="K557" s="84"/>
      <c r="L557" s="83" t="s">
        <v>12</v>
      </c>
      <c r="M557" s="83" t="s">
        <v>49</v>
      </c>
      <c r="N557" s="85">
        <v>45965</v>
      </c>
      <c r="O557" s="86" t="s">
        <v>25</v>
      </c>
      <c r="P557" s="85" t="s">
        <v>20</v>
      </c>
      <c r="Q557" s="91">
        <v>852762219</v>
      </c>
      <c r="R557" s="87"/>
      <c r="S557" s="30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</row>
    <row r="558" spans="2:37" ht="16.2" customHeight="1" x14ac:dyDescent="0.3">
      <c r="B558" s="80">
        <v>550</v>
      </c>
      <c r="C558" s="84" t="s">
        <v>753</v>
      </c>
      <c r="D558" s="82" t="s">
        <v>752</v>
      </c>
      <c r="E558" s="83">
        <v>7696</v>
      </c>
      <c r="F558" s="83" t="s">
        <v>16</v>
      </c>
      <c r="G558" s="83" t="s">
        <v>72</v>
      </c>
      <c r="H558" s="83" t="s">
        <v>14</v>
      </c>
      <c r="I558" s="83" t="s">
        <v>1059</v>
      </c>
      <c r="J558" s="83">
        <v>10</v>
      </c>
      <c r="K558" s="84"/>
      <c r="L558" s="83" t="s">
        <v>12</v>
      </c>
      <c r="M558" s="83" t="s">
        <v>49</v>
      </c>
      <c r="N558" s="85">
        <v>45965</v>
      </c>
      <c r="O558" s="86" t="s">
        <v>25</v>
      </c>
      <c r="P558" s="85" t="s">
        <v>20</v>
      </c>
      <c r="Q558" s="91">
        <v>814618675</v>
      </c>
      <c r="R558" s="87"/>
      <c r="S558" s="30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</row>
    <row r="559" spans="2:37" ht="16.2" customHeight="1" x14ac:dyDescent="0.3">
      <c r="B559" s="80">
        <v>551</v>
      </c>
      <c r="C559" s="84" t="s">
        <v>753</v>
      </c>
      <c r="D559" s="82" t="s">
        <v>752</v>
      </c>
      <c r="E559" s="83">
        <v>7697</v>
      </c>
      <c r="F559" s="83" t="s">
        <v>16</v>
      </c>
      <c r="G559" s="83" t="s">
        <v>72</v>
      </c>
      <c r="H559" s="83" t="s">
        <v>14</v>
      </c>
      <c r="I559" s="83" t="s">
        <v>785</v>
      </c>
      <c r="J559" s="83">
        <v>45</v>
      </c>
      <c r="K559" s="84"/>
      <c r="L559" s="83" t="s">
        <v>12</v>
      </c>
      <c r="M559" s="83" t="s">
        <v>49</v>
      </c>
      <c r="N559" s="85">
        <v>45965</v>
      </c>
      <c r="O559" s="86" t="s">
        <v>25</v>
      </c>
      <c r="P559" s="85" t="s">
        <v>20</v>
      </c>
      <c r="Q559" s="91">
        <v>814618675</v>
      </c>
      <c r="R559" s="87"/>
      <c r="S559" s="30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</row>
    <row r="560" spans="2:37" ht="16.2" customHeight="1" x14ac:dyDescent="0.3">
      <c r="B560" s="80">
        <v>552</v>
      </c>
      <c r="C560" s="84" t="s">
        <v>773</v>
      </c>
      <c r="D560" s="82" t="s">
        <v>772</v>
      </c>
      <c r="E560" s="83">
        <v>7698</v>
      </c>
      <c r="F560" s="83" t="s">
        <v>16</v>
      </c>
      <c r="G560" s="83" t="s">
        <v>201</v>
      </c>
      <c r="H560" s="83" t="s">
        <v>14</v>
      </c>
      <c r="I560" s="83" t="s">
        <v>13</v>
      </c>
      <c r="J560" s="83">
        <v>40</v>
      </c>
      <c r="K560" s="84"/>
      <c r="L560" s="83" t="s">
        <v>12</v>
      </c>
      <c r="M560" s="83" t="s">
        <v>49</v>
      </c>
      <c r="N560" s="85">
        <v>45965</v>
      </c>
      <c r="O560" s="86" t="s">
        <v>10</v>
      </c>
      <c r="P560" s="85" t="s">
        <v>9</v>
      </c>
      <c r="Q560" s="91" t="s">
        <v>771</v>
      </c>
      <c r="R560" s="87"/>
      <c r="S560" s="30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</row>
    <row r="561" spans="2:37" ht="16.2" customHeight="1" x14ac:dyDescent="0.3">
      <c r="B561" s="80">
        <v>553</v>
      </c>
      <c r="C561" s="84" t="s">
        <v>1060</v>
      </c>
      <c r="D561" s="82" t="s">
        <v>1061</v>
      </c>
      <c r="E561" s="83">
        <v>7699</v>
      </c>
      <c r="F561" s="83" t="s">
        <v>28</v>
      </c>
      <c r="G561" s="84" t="s">
        <v>46</v>
      </c>
      <c r="H561" s="83" t="s">
        <v>14</v>
      </c>
      <c r="I561" s="83" t="s">
        <v>13</v>
      </c>
      <c r="J561" s="83">
        <v>40</v>
      </c>
      <c r="K561" s="84"/>
      <c r="L561" s="83" t="s">
        <v>26</v>
      </c>
      <c r="M561" s="83" t="s">
        <v>49</v>
      </c>
      <c r="N561" s="85">
        <v>45965</v>
      </c>
      <c r="O561" s="86" t="s">
        <v>10</v>
      </c>
      <c r="P561" s="85" t="s">
        <v>0</v>
      </c>
      <c r="Q561" s="91">
        <v>850136358</v>
      </c>
      <c r="R561" s="87" t="s">
        <v>1062</v>
      </c>
      <c r="S561" s="30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</row>
    <row r="562" spans="2:37" ht="16.2" x14ac:dyDescent="0.3">
      <c r="B562" s="80">
        <v>554</v>
      </c>
      <c r="C562" s="84" t="s">
        <v>800</v>
      </c>
      <c r="D562" s="82" t="s">
        <v>799</v>
      </c>
      <c r="E562" s="83">
        <v>7700</v>
      </c>
      <c r="F562" s="83" t="s">
        <v>28</v>
      </c>
      <c r="G562" s="83" t="s">
        <v>375</v>
      </c>
      <c r="H562" s="83" t="s">
        <v>14</v>
      </c>
      <c r="I562" s="83" t="s">
        <v>13</v>
      </c>
      <c r="J562" s="83">
        <v>45</v>
      </c>
      <c r="K562" s="84"/>
      <c r="L562" s="83" t="s">
        <v>26</v>
      </c>
      <c r="M562" s="83" t="s">
        <v>49</v>
      </c>
      <c r="N562" s="85">
        <v>45965</v>
      </c>
      <c r="O562" s="86" t="s">
        <v>10</v>
      </c>
      <c r="P562" s="85" t="s">
        <v>20</v>
      </c>
      <c r="Q562" s="91"/>
      <c r="R562" s="87"/>
      <c r="S562" s="30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</row>
    <row r="563" spans="2:37" ht="16.2" x14ac:dyDescent="0.3">
      <c r="B563" s="80">
        <v>555</v>
      </c>
      <c r="C563" s="84" t="s">
        <v>793</v>
      </c>
      <c r="D563" s="82" t="s">
        <v>792</v>
      </c>
      <c r="E563" s="83">
        <v>7701</v>
      </c>
      <c r="F563" s="83" t="s">
        <v>16</v>
      </c>
      <c r="G563" s="83" t="s">
        <v>46</v>
      </c>
      <c r="H563" s="83" t="s">
        <v>14</v>
      </c>
      <c r="I563" s="83" t="s">
        <v>13</v>
      </c>
      <c r="J563" s="83">
        <v>40</v>
      </c>
      <c r="K563" s="84"/>
      <c r="L563" s="83" t="s">
        <v>26</v>
      </c>
      <c r="M563" s="83" t="s">
        <v>49</v>
      </c>
      <c r="N563" s="85">
        <v>45965</v>
      </c>
      <c r="O563" s="86" t="s">
        <v>10</v>
      </c>
      <c r="P563" s="85" t="s">
        <v>0</v>
      </c>
      <c r="Q563" s="91">
        <v>992347717</v>
      </c>
      <c r="R563" s="87"/>
      <c r="S563" s="30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</row>
    <row r="564" spans="2:37" ht="16.2" x14ac:dyDescent="0.3">
      <c r="B564" s="80">
        <v>556</v>
      </c>
      <c r="C564" s="84" t="s">
        <v>303</v>
      </c>
      <c r="D564" s="82" t="s">
        <v>302</v>
      </c>
      <c r="E564" s="83">
        <v>7702</v>
      </c>
      <c r="F564" s="83" t="s">
        <v>28</v>
      </c>
      <c r="G564" s="83" t="s">
        <v>301</v>
      </c>
      <c r="H564" s="83" t="s">
        <v>14</v>
      </c>
      <c r="I564" s="83" t="s">
        <v>281</v>
      </c>
      <c r="J564" s="83">
        <v>80</v>
      </c>
      <c r="K564" s="84"/>
      <c r="L564" s="83" t="s">
        <v>12</v>
      </c>
      <c r="M564" s="83" t="s">
        <v>49</v>
      </c>
      <c r="N564" s="85">
        <v>45965</v>
      </c>
      <c r="O564" s="86" t="s">
        <v>25</v>
      </c>
      <c r="P564" s="85" t="s">
        <v>20</v>
      </c>
      <c r="Q564" s="91">
        <v>852577025</v>
      </c>
      <c r="R564" s="87"/>
      <c r="S564" s="30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</row>
    <row r="565" spans="2:37" ht="16.2" x14ac:dyDescent="0.3">
      <c r="B565" s="80">
        <v>557</v>
      </c>
      <c r="C565" s="84" t="s">
        <v>176</v>
      </c>
      <c r="D565" s="82" t="s">
        <v>175</v>
      </c>
      <c r="E565" s="83">
        <v>7703</v>
      </c>
      <c r="F565" s="83" t="s">
        <v>16</v>
      </c>
      <c r="G565" s="83" t="s">
        <v>174</v>
      </c>
      <c r="H565" s="83" t="s">
        <v>14</v>
      </c>
      <c r="I565" s="83" t="s">
        <v>13</v>
      </c>
      <c r="J565" s="83">
        <v>100</v>
      </c>
      <c r="K565" s="84"/>
      <c r="L565" s="83" t="s">
        <v>12</v>
      </c>
      <c r="M565" s="83" t="s">
        <v>49</v>
      </c>
      <c r="N565" s="85">
        <v>45965</v>
      </c>
      <c r="O565" s="86" t="s">
        <v>25</v>
      </c>
      <c r="P565" s="85" t="s">
        <v>20</v>
      </c>
      <c r="Q565" s="91">
        <v>9930769789</v>
      </c>
      <c r="R565" s="87"/>
      <c r="S565" s="30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</row>
    <row r="566" spans="2:37" ht="16.2" x14ac:dyDescent="0.3">
      <c r="B566" s="80">
        <v>558</v>
      </c>
      <c r="C566" s="84" t="s">
        <v>55</v>
      </c>
      <c r="D566" s="82" t="s">
        <v>54</v>
      </c>
      <c r="E566" s="83">
        <v>7704</v>
      </c>
      <c r="F566" s="83" t="s">
        <v>16</v>
      </c>
      <c r="G566" s="83" t="s">
        <v>53</v>
      </c>
      <c r="H566" s="83" t="s">
        <v>14</v>
      </c>
      <c r="I566" s="83" t="s">
        <v>13</v>
      </c>
      <c r="J566" s="83">
        <v>45</v>
      </c>
      <c r="K566" s="84"/>
      <c r="L566" s="83" t="s">
        <v>26</v>
      </c>
      <c r="M566" s="83" t="s">
        <v>49</v>
      </c>
      <c r="N566" s="85">
        <v>45965</v>
      </c>
      <c r="O566" s="86" t="s">
        <v>10</v>
      </c>
      <c r="P566" s="85" t="s">
        <v>20</v>
      </c>
      <c r="Q566" s="91">
        <v>994481973</v>
      </c>
      <c r="R566" s="87"/>
      <c r="S566" s="30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</row>
    <row r="567" spans="2:37" ht="16.2" x14ac:dyDescent="0.3">
      <c r="B567" s="80">
        <v>559</v>
      </c>
      <c r="C567" s="84" t="s">
        <v>511</v>
      </c>
      <c r="D567" s="82" t="s">
        <v>510</v>
      </c>
      <c r="E567" s="83">
        <v>7705</v>
      </c>
      <c r="F567" s="83" t="s">
        <v>28</v>
      </c>
      <c r="G567" s="83" t="s">
        <v>15</v>
      </c>
      <c r="H567" s="83" t="s">
        <v>14</v>
      </c>
      <c r="I567" s="83" t="s">
        <v>13</v>
      </c>
      <c r="J567" s="83">
        <v>40</v>
      </c>
      <c r="K567" s="84"/>
      <c r="L567" s="83" t="s">
        <v>12</v>
      </c>
      <c r="M567" s="83" t="s">
        <v>49</v>
      </c>
      <c r="N567" s="85">
        <v>45965</v>
      </c>
      <c r="O567" s="86" t="s">
        <v>10</v>
      </c>
      <c r="P567" s="85" t="s">
        <v>9</v>
      </c>
      <c r="Q567" s="91">
        <v>973642116</v>
      </c>
      <c r="R567" s="87"/>
      <c r="S567" s="30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</row>
    <row r="568" spans="2:37" ht="16.2" x14ac:dyDescent="0.3">
      <c r="B568" s="80">
        <v>560</v>
      </c>
      <c r="C568" s="84" t="s">
        <v>52</v>
      </c>
      <c r="D568" s="82" t="s">
        <v>51</v>
      </c>
      <c r="E568" s="83">
        <v>7706</v>
      </c>
      <c r="F568" s="83" t="s">
        <v>16</v>
      </c>
      <c r="G568" s="84" t="s">
        <v>50</v>
      </c>
      <c r="H568" s="83" t="s">
        <v>14</v>
      </c>
      <c r="I568" s="83" t="s">
        <v>281</v>
      </c>
      <c r="J568" s="83">
        <v>10</v>
      </c>
      <c r="K568" s="84"/>
      <c r="L568" s="83" t="s">
        <v>26</v>
      </c>
      <c r="M568" s="83" t="s">
        <v>49</v>
      </c>
      <c r="N568" s="85">
        <v>45965</v>
      </c>
      <c r="O568" s="86" t="s">
        <v>10</v>
      </c>
      <c r="P568" s="85" t="s">
        <v>9</v>
      </c>
      <c r="Q568" s="91">
        <v>973642116</v>
      </c>
      <c r="R568" s="87"/>
      <c r="S568" s="30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</row>
    <row r="569" spans="2:37" ht="16.2" x14ac:dyDescent="0.3">
      <c r="B569" s="80">
        <v>561</v>
      </c>
      <c r="C569" s="84" t="s">
        <v>1063</v>
      </c>
      <c r="D569" s="82" t="s">
        <v>1064</v>
      </c>
      <c r="E569" s="83">
        <v>7707</v>
      </c>
      <c r="F569" s="83" t="s">
        <v>16</v>
      </c>
      <c r="G569" s="83" t="s">
        <v>46</v>
      </c>
      <c r="H569" s="83" t="s">
        <v>14</v>
      </c>
      <c r="I569" s="83" t="s">
        <v>21</v>
      </c>
      <c r="J569" s="83">
        <v>40</v>
      </c>
      <c r="K569" s="84"/>
      <c r="L569" s="83" t="s">
        <v>12</v>
      </c>
      <c r="M569" s="83" t="s">
        <v>49</v>
      </c>
      <c r="N569" s="85">
        <v>45965</v>
      </c>
      <c r="O569" s="86" t="s">
        <v>10</v>
      </c>
      <c r="P569" s="85" t="s">
        <v>0</v>
      </c>
      <c r="Q569" s="91"/>
      <c r="R569" s="87"/>
      <c r="S569" s="30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</row>
    <row r="570" spans="2:37" ht="16.2" x14ac:dyDescent="0.3">
      <c r="B570" s="80">
        <v>562</v>
      </c>
      <c r="C570" s="84" t="s">
        <v>1063</v>
      </c>
      <c r="D570" s="82" t="s">
        <v>1064</v>
      </c>
      <c r="E570" s="83">
        <v>7708</v>
      </c>
      <c r="F570" s="83" t="s">
        <v>16</v>
      </c>
      <c r="G570" s="83" t="s">
        <v>46</v>
      </c>
      <c r="H570" s="83" t="s">
        <v>14</v>
      </c>
      <c r="I570" s="83" t="s">
        <v>93</v>
      </c>
      <c r="J570" s="83">
        <v>40</v>
      </c>
      <c r="K570" s="84"/>
      <c r="L570" s="83" t="s">
        <v>12</v>
      </c>
      <c r="M570" s="83" t="s">
        <v>49</v>
      </c>
      <c r="N570" s="85">
        <v>45965</v>
      </c>
      <c r="O570" s="86" t="s">
        <v>10</v>
      </c>
      <c r="P570" s="85" t="s">
        <v>0</v>
      </c>
      <c r="Q570" s="91"/>
      <c r="R570" s="87"/>
      <c r="S570" s="30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</row>
    <row r="571" spans="2:37" ht="16.2" x14ac:dyDescent="0.3">
      <c r="B571" s="80">
        <v>563</v>
      </c>
      <c r="C571" s="84" t="s">
        <v>1065</v>
      </c>
      <c r="D571" s="82" t="s">
        <v>1066</v>
      </c>
      <c r="E571" s="83">
        <v>7709</v>
      </c>
      <c r="F571" s="83" t="s">
        <v>16</v>
      </c>
      <c r="G571" s="83" t="s">
        <v>133</v>
      </c>
      <c r="H571" s="83" t="s">
        <v>14</v>
      </c>
      <c r="I571" s="83" t="s">
        <v>21</v>
      </c>
      <c r="J571" s="83">
        <v>40</v>
      </c>
      <c r="K571" s="84"/>
      <c r="L571" s="83" t="s">
        <v>12</v>
      </c>
      <c r="M571" s="83" t="s">
        <v>49</v>
      </c>
      <c r="N571" s="85">
        <v>45965</v>
      </c>
      <c r="O571" s="86" t="s">
        <v>10</v>
      </c>
      <c r="P571" s="85" t="s">
        <v>9</v>
      </c>
      <c r="Q571" s="91">
        <v>859437143</v>
      </c>
      <c r="R571" s="87"/>
      <c r="S571" s="30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</row>
    <row r="572" spans="2:37" ht="16.2" x14ac:dyDescent="0.3">
      <c r="B572" s="80">
        <v>564</v>
      </c>
      <c r="C572" s="84" t="s">
        <v>1065</v>
      </c>
      <c r="D572" s="82" t="s">
        <v>1066</v>
      </c>
      <c r="E572" s="83">
        <v>7710</v>
      </c>
      <c r="F572" s="83" t="s">
        <v>16</v>
      </c>
      <c r="G572" s="84" t="s">
        <v>133</v>
      </c>
      <c r="H572" s="83" t="s">
        <v>14</v>
      </c>
      <c r="I572" s="83" t="s">
        <v>93</v>
      </c>
      <c r="J572" s="83">
        <v>40</v>
      </c>
      <c r="K572" s="84"/>
      <c r="L572" s="83" t="s">
        <v>12</v>
      </c>
      <c r="M572" s="83" t="s">
        <v>49</v>
      </c>
      <c r="N572" s="85">
        <v>45965</v>
      </c>
      <c r="O572" s="86" t="s">
        <v>10</v>
      </c>
      <c r="P572" s="85" t="s">
        <v>9</v>
      </c>
      <c r="Q572" s="91">
        <v>859437143</v>
      </c>
      <c r="R572" s="87"/>
      <c r="S572" s="30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</row>
    <row r="573" spans="2:37" ht="16.2" x14ac:dyDescent="0.3">
      <c r="B573" s="80">
        <v>565</v>
      </c>
      <c r="C573" s="84" t="s">
        <v>1067</v>
      </c>
      <c r="D573" s="82" t="s">
        <v>1068</v>
      </c>
      <c r="E573" s="83">
        <v>7711</v>
      </c>
      <c r="F573" s="83" t="s">
        <v>28</v>
      </c>
      <c r="G573" s="83" t="s">
        <v>83</v>
      </c>
      <c r="H573" s="83" t="s">
        <v>14</v>
      </c>
      <c r="I573" s="83" t="s">
        <v>21</v>
      </c>
      <c r="J573" s="83">
        <v>40</v>
      </c>
      <c r="K573" s="84"/>
      <c r="L573" s="83" t="s">
        <v>12</v>
      </c>
      <c r="M573" s="83" t="s">
        <v>49</v>
      </c>
      <c r="N573" s="85">
        <v>45965</v>
      </c>
      <c r="O573" s="86" t="s">
        <v>25</v>
      </c>
      <c r="P573" s="85" t="s">
        <v>9</v>
      </c>
      <c r="Q573" s="91">
        <v>994689077</v>
      </c>
      <c r="R573" s="87"/>
      <c r="S573" s="30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</row>
    <row r="574" spans="2:37" ht="16.2" x14ac:dyDescent="0.3">
      <c r="B574" s="80">
        <v>566</v>
      </c>
      <c r="C574" s="84" t="s">
        <v>1067</v>
      </c>
      <c r="D574" s="82" t="s">
        <v>1068</v>
      </c>
      <c r="E574" s="83">
        <v>7712</v>
      </c>
      <c r="F574" s="83" t="s">
        <v>28</v>
      </c>
      <c r="G574" s="83" t="s">
        <v>83</v>
      </c>
      <c r="H574" s="83" t="s">
        <v>14</v>
      </c>
      <c r="I574" s="83" t="s">
        <v>93</v>
      </c>
      <c r="J574" s="83">
        <v>40</v>
      </c>
      <c r="K574" s="84"/>
      <c r="L574" s="83" t="s">
        <v>12</v>
      </c>
      <c r="M574" s="83" t="s">
        <v>49</v>
      </c>
      <c r="N574" s="85">
        <v>45965</v>
      </c>
      <c r="O574" s="86" t="s">
        <v>25</v>
      </c>
      <c r="P574" s="85" t="s">
        <v>9</v>
      </c>
      <c r="Q574" s="91">
        <v>994689077</v>
      </c>
      <c r="R574" s="87"/>
      <c r="S574" s="30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</row>
    <row r="575" spans="2:37" ht="16.2" x14ac:dyDescent="0.3">
      <c r="B575" s="80">
        <v>567</v>
      </c>
      <c r="C575" s="84" t="s">
        <v>1069</v>
      </c>
      <c r="D575" s="82" t="s">
        <v>1070</v>
      </c>
      <c r="E575" s="83">
        <v>7713</v>
      </c>
      <c r="F575" s="83" t="s">
        <v>16</v>
      </c>
      <c r="G575" s="83" t="s">
        <v>53</v>
      </c>
      <c r="H575" s="83" t="s">
        <v>14</v>
      </c>
      <c r="I575" s="83" t="s">
        <v>13</v>
      </c>
      <c r="J575" s="83">
        <v>45</v>
      </c>
      <c r="K575" s="84"/>
      <c r="L575" s="83" t="s">
        <v>12</v>
      </c>
      <c r="M575" s="83" t="s">
        <v>49</v>
      </c>
      <c r="N575" s="85">
        <v>45965</v>
      </c>
      <c r="O575" s="86" t="s">
        <v>10</v>
      </c>
      <c r="P575" s="85" t="s">
        <v>20</v>
      </c>
      <c r="Q575" s="91">
        <v>997927287</v>
      </c>
      <c r="R575" s="87"/>
      <c r="S575" s="30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</row>
    <row r="576" spans="2:37" ht="16.2" x14ac:dyDescent="0.3">
      <c r="B576" s="80">
        <v>568</v>
      </c>
      <c r="C576" s="84" t="s">
        <v>1071</v>
      </c>
      <c r="D576" s="82" t="s">
        <v>1072</v>
      </c>
      <c r="E576" s="83">
        <v>7714</v>
      </c>
      <c r="F576" s="83" t="s">
        <v>28</v>
      </c>
      <c r="G576" s="83" t="s">
        <v>133</v>
      </c>
      <c r="H576" s="83" t="s">
        <v>14</v>
      </c>
      <c r="I576" s="83" t="s">
        <v>13</v>
      </c>
      <c r="J576" s="83">
        <v>40</v>
      </c>
      <c r="K576" s="84"/>
      <c r="L576" s="83" t="s">
        <v>12</v>
      </c>
      <c r="M576" s="83" t="s">
        <v>49</v>
      </c>
      <c r="N576" s="85">
        <v>45965</v>
      </c>
      <c r="O576" s="86" t="s">
        <v>10</v>
      </c>
      <c r="P576" s="85" t="s">
        <v>9</v>
      </c>
      <c r="Q576" s="91"/>
      <c r="R576" s="87"/>
      <c r="S576" s="30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</row>
    <row r="577" spans="2:37" ht="16.2" x14ac:dyDescent="0.3">
      <c r="B577" s="80">
        <v>569</v>
      </c>
      <c r="C577" s="84" t="s">
        <v>795</v>
      </c>
      <c r="D577" s="82" t="s">
        <v>794</v>
      </c>
      <c r="E577" s="83">
        <v>7715</v>
      </c>
      <c r="F577" s="83" t="s">
        <v>28</v>
      </c>
      <c r="G577" s="83" t="s">
        <v>40</v>
      </c>
      <c r="H577" s="83" t="s">
        <v>14</v>
      </c>
      <c r="I577" s="83" t="s">
        <v>13</v>
      </c>
      <c r="J577" s="83">
        <v>40</v>
      </c>
      <c r="K577" s="84"/>
      <c r="L577" s="83" t="s">
        <v>26</v>
      </c>
      <c r="M577" s="83" t="s">
        <v>49</v>
      </c>
      <c r="N577" s="85">
        <v>45965</v>
      </c>
      <c r="O577" s="86" t="s">
        <v>10</v>
      </c>
      <c r="P577" s="85" t="s">
        <v>0</v>
      </c>
      <c r="Q577" s="91">
        <v>993573914</v>
      </c>
      <c r="R577" s="87"/>
      <c r="S577" s="30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</row>
    <row r="578" spans="2:37" ht="16.2" x14ac:dyDescent="0.3">
      <c r="B578" s="80">
        <v>570</v>
      </c>
      <c r="C578" s="84" t="s">
        <v>658</v>
      </c>
      <c r="D578" s="82" t="s">
        <v>657</v>
      </c>
      <c r="E578" s="83">
        <v>7716</v>
      </c>
      <c r="F578" s="83" t="s">
        <v>28</v>
      </c>
      <c r="G578" s="83" t="s">
        <v>100</v>
      </c>
      <c r="H578" s="83" t="s">
        <v>14</v>
      </c>
      <c r="I578" s="83" t="s">
        <v>13</v>
      </c>
      <c r="J578" s="83">
        <v>55</v>
      </c>
      <c r="K578" s="84"/>
      <c r="L578" s="83" t="s">
        <v>26</v>
      </c>
      <c r="M578" s="83" t="s">
        <v>49</v>
      </c>
      <c r="N578" s="85">
        <v>45965</v>
      </c>
      <c r="O578" s="86" t="s">
        <v>10</v>
      </c>
      <c r="P578" s="85" t="s">
        <v>20</v>
      </c>
      <c r="Q578" s="91">
        <v>985245647</v>
      </c>
      <c r="R578" s="87"/>
      <c r="S578" s="30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</row>
    <row r="579" spans="2:37" ht="16.2" x14ac:dyDescent="0.3">
      <c r="B579" s="80">
        <v>571</v>
      </c>
      <c r="C579" s="84" t="s">
        <v>605</v>
      </c>
      <c r="D579" s="82" t="s">
        <v>604</v>
      </c>
      <c r="E579" s="83">
        <v>7717</v>
      </c>
      <c r="F579" s="83" t="s">
        <v>28</v>
      </c>
      <c r="G579" s="83" t="s">
        <v>27</v>
      </c>
      <c r="H579" s="83" t="s">
        <v>14</v>
      </c>
      <c r="I579" s="83" t="s">
        <v>13</v>
      </c>
      <c r="J579" s="83">
        <v>55</v>
      </c>
      <c r="K579" s="84"/>
      <c r="L579" s="83" t="s">
        <v>12</v>
      </c>
      <c r="M579" s="83" t="s">
        <v>49</v>
      </c>
      <c r="N579" s="85">
        <v>45965</v>
      </c>
      <c r="O579" s="86" t="s">
        <v>10</v>
      </c>
      <c r="P579" s="85" t="s">
        <v>20</v>
      </c>
      <c r="Q579" s="91">
        <v>824758012</v>
      </c>
      <c r="R579" s="87"/>
      <c r="S579" s="30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</row>
    <row r="580" spans="2:37" ht="16.2" x14ac:dyDescent="0.3">
      <c r="B580" s="80">
        <v>572</v>
      </c>
      <c r="C580" s="84" t="s">
        <v>693</v>
      </c>
      <c r="D580" s="82" t="s">
        <v>692</v>
      </c>
      <c r="E580" s="83">
        <v>7718</v>
      </c>
      <c r="F580" s="83" t="s">
        <v>28</v>
      </c>
      <c r="G580" s="83" t="s">
        <v>301</v>
      </c>
      <c r="H580" s="83" t="s">
        <v>14</v>
      </c>
      <c r="I580" s="83" t="s">
        <v>13</v>
      </c>
      <c r="J580" s="83">
        <v>100</v>
      </c>
      <c r="K580" s="84"/>
      <c r="L580" s="83" t="s">
        <v>12</v>
      </c>
      <c r="M580" s="83" t="s">
        <v>49</v>
      </c>
      <c r="N580" s="85">
        <v>45965</v>
      </c>
      <c r="O580" s="86" t="s">
        <v>25</v>
      </c>
      <c r="P580" s="85" t="s">
        <v>20</v>
      </c>
      <c r="Q580" s="91" t="s">
        <v>691</v>
      </c>
      <c r="R580" s="87"/>
      <c r="S580" s="30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</row>
    <row r="581" spans="2:37" ht="16.2" x14ac:dyDescent="0.3">
      <c r="B581" s="80">
        <v>573</v>
      </c>
      <c r="C581" s="84" t="s">
        <v>351</v>
      </c>
      <c r="D581" s="82" t="s">
        <v>350</v>
      </c>
      <c r="E581" s="83">
        <v>7719</v>
      </c>
      <c r="F581" s="83" t="s">
        <v>28</v>
      </c>
      <c r="G581" s="84" t="s">
        <v>301</v>
      </c>
      <c r="H581" s="83" t="s">
        <v>14</v>
      </c>
      <c r="I581" s="83" t="s">
        <v>281</v>
      </c>
      <c r="J581" s="83">
        <v>80</v>
      </c>
      <c r="K581" s="84"/>
      <c r="L581" s="83" t="s">
        <v>12</v>
      </c>
      <c r="M581" s="83" t="s">
        <v>49</v>
      </c>
      <c r="N581" s="85">
        <v>45965</v>
      </c>
      <c r="O581" s="86" t="s">
        <v>25</v>
      </c>
      <c r="P581" s="85" t="s">
        <v>20</v>
      </c>
      <c r="Q581" s="91">
        <v>996583994</v>
      </c>
      <c r="R581" s="87" t="s">
        <v>1073</v>
      </c>
      <c r="S581" s="30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</row>
    <row r="582" spans="2:37" ht="16.2" x14ac:dyDescent="0.3">
      <c r="B582" s="80">
        <v>574</v>
      </c>
      <c r="C582" s="81" t="s">
        <v>699</v>
      </c>
      <c r="D582" s="82" t="s">
        <v>698</v>
      </c>
      <c r="E582" s="83">
        <v>7720</v>
      </c>
      <c r="F582" s="83" t="s">
        <v>16</v>
      </c>
      <c r="G582" s="83" t="s">
        <v>97</v>
      </c>
      <c r="H582" s="83" t="s">
        <v>14</v>
      </c>
      <c r="I582" s="83" t="s">
        <v>281</v>
      </c>
      <c r="J582" s="83">
        <v>80</v>
      </c>
      <c r="K582" s="84"/>
      <c r="L582" s="83" t="s">
        <v>12</v>
      </c>
      <c r="M582" s="83" t="s">
        <v>49</v>
      </c>
      <c r="N582" s="85">
        <v>45965</v>
      </c>
      <c r="O582" s="86" t="s">
        <v>25</v>
      </c>
      <c r="P582" s="85" t="s">
        <v>20</v>
      </c>
      <c r="Q582" s="91">
        <v>971790071</v>
      </c>
      <c r="R582" s="87"/>
      <c r="S582" s="30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</row>
    <row r="583" spans="2:37" ht="16.2" x14ac:dyDescent="0.3">
      <c r="B583" s="80">
        <v>575</v>
      </c>
      <c r="C583" s="84" t="s">
        <v>1074</v>
      </c>
      <c r="D583" s="82" t="s">
        <v>1075</v>
      </c>
      <c r="E583" s="83">
        <v>7721</v>
      </c>
      <c r="F583" s="84" t="s">
        <v>28</v>
      </c>
      <c r="G583" s="84" t="s">
        <v>34</v>
      </c>
      <c r="H583" s="84" t="s">
        <v>14</v>
      </c>
      <c r="I583" s="84" t="s">
        <v>13</v>
      </c>
      <c r="J583" s="84">
        <v>55</v>
      </c>
      <c r="K583" s="84"/>
      <c r="L583" s="84" t="s">
        <v>26</v>
      </c>
      <c r="M583" s="84" t="s">
        <v>11</v>
      </c>
      <c r="N583" s="85">
        <v>45966</v>
      </c>
      <c r="O583" s="86" t="s">
        <v>10</v>
      </c>
      <c r="P583" s="97" t="s">
        <v>20</v>
      </c>
      <c r="Q583" s="91">
        <v>997306606</v>
      </c>
      <c r="R583" s="91"/>
      <c r="S583" s="30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</row>
    <row r="584" spans="2:37" ht="16.2" x14ac:dyDescent="0.3">
      <c r="B584" s="80">
        <v>576</v>
      </c>
      <c r="C584" s="84" t="s">
        <v>576</v>
      </c>
      <c r="D584" s="82" t="s">
        <v>575</v>
      </c>
      <c r="E584" s="83">
        <v>7722</v>
      </c>
      <c r="F584" s="84" t="s">
        <v>28</v>
      </c>
      <c r="G584" s="84" t="s">
        <v>15</v>
      </c>
      <c r="H584" s="84" t="s">
        <v>14</v>
      </c>
      <c r="I584" s="84" t="s">
        <v>13</v>
      </c>
      <c r="J584" s="84">
        <v>40</v>
      </c>
      <c r="K584" s="84"/>
      <c r="L584" s="84" t="s">
        <v>26</v>
      </c>
      <c r="M584" s="84" t="s">
        <v>11</v>
      </c>
      <c r="N584" s="85">
        <v>45966</v>
      </c>
      <c r="O584" s="86" t="s">
        <v>10</v>
      </c>
      <c r="P584" s="97" t="s">
        <v>9</v>
      </c>
      <c r="Q584" s="91">
        <v>995356940</v>
      </c>
      <c r="R584" s="91"/>
      <c r="S584" s="30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</row>
    <row r="585" spans="2:37" ht="16.2" x14ac:dyDescent="0.3">
      <c r="B585" s="80">
        <v>577</v>
      </c>
      <c r="C585" s="84" t="s">
        <v>574</v>
      </c>
      <c r="D585" s="82" t="s">
        <v>573</v>
      </c>
      <c r="E585" s="83">
        <v>7723</v>
      </c>
      <c r="F585" s="84" t="s">
        <v>16</v>
      </c>
      <c r="G585" s="84" t="s">
        <v>37</v>
      </c>
      <c r="H585" s="84" t="s">
        <v>14</v>
      </c>
      <c r="I585" s="84" t="s">
        <v>13</v>
      </c>
      <c r="J585" s="84">
        <v>45</v>
      </c>
      <c r="K585" s="84"/>
      <c r="L585" s="84" t="s">
        <v>26</v>
      </c>
      <c r="M585" s="84" t="s">
        <v>11</v>
      </c>
      <c r="N585" s="85">
        <v>45966</v>
      </c>
      <c r="O585" s="86" t="s">
        <v>10</v>
      </c>
      <c r="P585" s="97" t="s">
        <v>20</v>
      </c>
      <c r="Q585" s="91">
        <v>995356940</v>
      </c>
      <c r="R585" s="91"/>
      <c r="S585" s="30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</row>
    <row r="586" spans="2:37" ht="16.2" x14ac:dyDescent="0.3">
      <c r="B586" s="80">
        <v>578</v>
      </c>
      <c r="C586" s="84" t="s">
        <v>1076</v>
      </c>
      <c r="D586" s="82" t="s">
        <v>579</v>
      </c>
      <c r="E586" s="83">
        <v>7724</v>
      </c>
      <c r="F586" s="84" t="s">
        <v>16</v>
      </c>
      <c r="G586" s="84" t="s">
        <v>140</v>
      </c>
      <c r="H586" s="84" t="s">
        <v>14</v>
      </c>
      <c r="I586" s="84" t="s">
        <v>13</v>
      </c>
      <c r="J586" s="84">
        <v>55</v>
      </c>
      <c r="K586" s="84"/>
      <c r="L586" s="84" t="s">
        <v>26</v>
      </c>
      <c r="M586" s="84" t="s">
        <v>11</v>
      </c>
      <c r="N586" s="85">
        <v>45966</v>
      </c>
      <c r="O586" s="86" t="s">
        <v>25</v>
      </c>
      <c r="P586" s="97" t="s">
        <v>20</v>
      </c>
      <c r="Q586" s="91">
        <v>995356940</v>
      </c>
      <c r="R586" s="91"/>
      <c r="S586" s="30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</row>
    <row r="587" spans="2:37" ht="16.2" x14ac:dyDescent="0.3">
      <c r="B587" s="80">
        <v>579</v>
      </c>
      <c r="C587" s="84" t="s">
        <v>1077</v>
      </c>
      <c r="D587" s="82" t="s">
        <v>577</v>
      </c>
      <c r="E587" s="83">
        <v>7725</v>
      </c>
      <c r="F587" s="84" t="s">
        <v>16</v>
      </c>
      <c r="G587" s="84" t="s">
        <v>140</v>
      </c>
      <c r="H587" s="84" t="s">
        <v>14</v>
      </c>
      <c r="I587" s="84" t="s">
        <v>13</v>
      </c>
      <c r="J587" s="84">
        <v>55</v>
      </c>
      <c r="K587" s="84"/>
      <c r="L587" s="84" t="s">
        <v>26</v>
      </c>
      <c r="M587" s="84" t="s">
        <v>11</v>
      </c>
      <c r="N587" s="85">
        <v>45966</v>
      </c>
      <c r="O587" s="86" t="s">
        <v>25</v>
      </c>
      <c r="P587" s="97" t="s">
        <v>20</v>
      </c>
      <c r="Q587" s="91">
        <v>995356940</v>
      </c>
      <c r="R587" s="91"/>
      <c r="S587" s="30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</row>
    <row r="588" spans="2:37" ht="16.2" x14ac:dyDescent="0.3">
      <c r="B588" s="80">
        <v>580</v>
      </c>
      <c r="C588" s="84" t="s">
        <v>568</v>
      </c>
      <c r="D588" s="82" t="s">
        <v>567</v>
      </c>
      <c r="E588" s="83">
        <v>7726</v>
      </c>
      <c r="F588" s="84" t="s">
        <v>28</v>
      </c>
      <c r="G588" s="84" t="s">
        <v>31</v>
      </c>
      <c r="H588" s="84" t="s">
        <v>14</v>
      </c>
      <c r="I588" s="84" t="s">
        <v>13</v>
      </c>
      <c r="J588" s="84">
        <v>45</v>
      </c>
      <c r="K588" s="84"/>
      <c r="L588" s="84" t="s">
        <v>12</v>
      </c>
      <c r="M588" s="84" t="s">
        <v>11</v>
      </c>
      <c r="N588" s="85">
        <v>45966</v>
      </c>
      <c r="O588" s="86" t="s">
        <v>25</v>
      </c>
      <c r="P588" s="97" t="s">
        <v>20</v>
      </c>
      <c r="Q588" s="91">
        <v>990953501</v>
      </c>
      <c r="R588" s="91"/>
      <c r="S588" s="30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</row>
    <row r="589" spans="2:37" ht="16.2" x14ac:dyDescent="0.3">
      <c r="B589" s="80">
        <v>581</v>
      </c>
      <c r="C589" s="84" t="s">
        <v>755</v>
      </c>
      <c r="D589" s="82" t="s">
        <v>754</v>
      </c>
      <c r="E589" s="83">
        <v>7727</v>
      </c>
      <c r="F589" s="83" t="s">
        <v>28</v>
      </c>
      <c r="G589" s="83" t="s">
        <v>22</v>
      </c>
      <c r="H589" s="83" t="s">
        <v>14</v>
      </c>
      <c r="I589" s="83" t="s">
        <v>13</v>
      </c>
      <c r="J589" s="83">
        <v>50</v>
      </c>
      <c r="K589" s="84"/>
      <c r="L589" s="83" t="s">
        <v>12</v>
      </c>
      <c r="M589" s="83" t="s">
        <v>11</v>
      </c>
      <c r="N589" s="85">
        <v>45966</v>
      </c>
      <c r="O589" s="86" t="s">
        <v>10</v>
      </c>
      <c r="P589" s="85" t="s">
        <v>20</v>
      </c>
      <c r="Q589" s="91">
        <v>852388881</v>
      </c>
      <c r="R589" s="87"/>
      <c r="S589" s="30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</row>
    <row r="590" spans="2:37" ht="16.2" x14ac:dyDescent="0.3">
      <c r="B590" s="80">
        <v>582</v>
      </c>
      <c r="C590" s="84" t="s">
        <v>1078</v>
      </c>
      <c r="D590" s="82" t="s">
        <v>1079</v>
      </c>
      <c r="E590" s="83">
        <v>7728</v>
      </c>
      <c r="F590" s="83" t="s">
        <v>16</v>
      </c>
      <c r="G590" s="83" t="s">
        <v>161</v>
      </c>
      <c r="H590" s="83" t="s">
        <v>14</v>
      </c>
      <c r="I590" s="83" t="s">
        <v>281</v>
      </c>
      <c r="J590" s="83">
        <v>50</v>
      </c>
      <c r="K590" s="84"/>
      <c r="L590" s="83" t="s">
        <v>26</v>
      </c>
      <c r="M590" s="83" t="s">
        <v>11</v>
      </c>
      <c r="N590" s="85">
        <v>45966</v>
      </c>
      <c r="O590" s="86" t="s">
        <v>25</v>
      </c>
      <c r="P590" s="85" t="s">
        <v>20</v>
      </c>
      <c r="Q590" s="91">
        <v>234815460225</v>
      </c>
      <c r="R590" s="87"/>
      <c r="S590" s="30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</row>
    <row r="591" spans="2:37" ht="16.2" x14ac:dyDescent="0.3">
      <c r="B591" s="80">
        <v>583</v>
      </c>
      <c r="C591" s="84" t="s">
        <v>262</v>
      </c>
      <c r="D591" s="82" t="s">
        <v>261</v>
      </c>
      <c r="E591" s="83">
        <v>7729</v>
      </c>
      <c r="F591" s="83" t="s">
        <v>28</v>
      </c>
      <c r="G591" s="83" t="s">
        <v>37</v>
      </c>
      <c r="H591" s="83" t="s">
        <v>14</v>
      </c>
      <c r="I591" s="83" t="s">
        <v>13</v>
      </c>
      <c r="J591" s="83">
        <v>45</v>
      </c>
      <c r="K591" s="84"/>
      <c r="L591" s="83" t="s">
        <v>12</v>
      </c>
      <c r="M591" s="83" t="s">
        <v>11</v>
      </c>
      <c r="N591" s="85">
        <v>45966</v>
      </c>
      <c r="O591" s="86" t="s">
        <v>10</v>
      </c>
      <c r="P591" s="85" t="s">
        <v>20</v>
      </c>
      <c r="Q591" s="91" t="s">
        <v>260</v>
      </c>
      <c r="R591" s="87"/>
      <c r="S591" s="30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</row>
    <row r="592" spans="2:37" ht="16.2" x14ac:dyDescent="0.3">
      <c r="B592" s="80">
        <v>584</v>
      </c>
      <c r="C592" s="84" t="s">
        <v>259</v>
      </c>
      <c r="D592" s="82" t="s">
        <v>258</v>
      </c>
      <c r="E592" s="83">
        <v>7730</v>
      </c>
      <c r="F592" s="83" t="s">
        <v>28</v>
      </c>
      <c r="G592" s="84" t="s">
        <v>68</v>
      </c>
      <c r="H592" s="83" t="s">
        <v>14</v>
      </c>
      <c r="I592" s="83" t="s">
        <v>13</v>
      </c>
      <c r="J592" s="83">
        <v>55</v>
      </c>
      <c r="K592" s="84"/>
      <c r="L592" s="83" t="s">
        <v>12</v>
      </c>
      <c r="M592" s="83" t="s">
        <v>11</v>
      </c>
      <c r="N592" s="85">
        <v>45966</v>
      </c>
      <c r="O592" s="86" t="s">
        <v>10</v>
      </c>
      <c r="P592" s="85" t="s">
        <v>20</v>
      </c>
      <c r="Q592" s="91">
        <v>970466211</v>
      </c>
      <c r="R592" s="87"/>
      <c r="S592" s="30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</row>
    <row r="593" spans="2:37" ht="16.2" x14ac:dyDescent="0.3">
      <c r="B593" s="80">
        <v>585</v>
      </c>
      <c r="C593" s="84" t="s">
        <v>1080</v>
      </c>
      <c r="D593" s="82" t="s">
        <v>1081</v>
      </c>
      <c r="E593" s="83">
        <v>7731</v>
      </c>
      <c r="F593" s="83" t="s">
        <v>16</v>
      </c>
      <c r="G593" s="83" t="s">
        <v>15</v>
      </c>
      <c r="H593" s="83" t="s">
        <v>14</v>
      </c>
      <c r="I593" s="83" t="s">
        <v>13</v>
      </c>
      <c r="J593" s="83">
        <v>35</v>
      </c>
      <c r="K593" s="84"/>
      <c r="L593" s="83" t="s">
        <v>26</v>
      </c>
      <c r="M593" s="83" t="s">
        <v>11</v>
      </c>
      <c r="N593" s="85">
        <v>45966</v>
      </c>
      <c r="O593" s="86" t="s">
        <v>10</v>
      </c>
      <c r="P593" s="85" t="s">
        <v>9</v>
      </c>
      <c r="Q593" s="91"/>
      <c r="R593" s="87"/>
      <c r="S593" s="30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</row>
    <row r="594" spans="2:37" ht="16.2" x14ac:dyDescent="0.3">
      <c r="B594" s="80">
        <v>586</v>
      </c>
      <c r="C594" s="84" t="s">
        <v>593</v>
      </c>
      <c r="D594" s="82" t="s">
        <v>592</v>
      </c>
      <c r="E594" s="83">
        <v>7732</v>
      </c>
      <c r="F594" s="83" t="s">
        <v>16</v>
      </c>
      <c r="G594" s="83" t="s">
        <v>15</v>
      </c>
      <c r="H594" s="83" t="s">
        <v>14</v>
      </c>
      <c r="I594" s="83" t="s">
        <v>13</v>
      </c>
      <c r="J594" s="83">
        <v>35</v>
      </c>
      <c r="K594" s="84"/>
      <c r="L594" s="83" t="s">
        <v>12</v>
      </c>
      <c r="M594" s="83" t="s">
        <v>11</v>
      </c>
      <c r="N594" s="85">
        <v>45966</v>
      </c>
      <c r="O594" s="86" t="s">
        <v>10</v>
      </c>
      <c r="P594" s="85" t="s">
        <v>9</v>
      </c>
      <c r="Q594" s="91">
        <v>978062805</v>
      </c>
      <c r="R594" s="87"/>
      <c r="S594" s="30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</row>
    <row r="595" spans="2:37" ht="16.2" x14ac:dyDescent="0.3">
      <c r="B595" s="80">
        <v>587</v>
      </c>
      <c r="C595" s="84" t="s">
        <v>595</v>
      </c>
      <c r="D595" s="82" t="s">
        <v>594</v>
      </c>
      <c r="E595" s="83">
        <v>7733</v>
      </c>
      <c r="F595" s="83" t="s">
        <v>28</v>
      </c>
      <c r="G595" s="83" t="s">
        <v>77</v>
      </c>
      <c r="H595" s="83" t="s">
        <v>14</v>
      </c>
      <c r="I595" s="83" t="s">
        <v>13</v>
      </c>
      <c r="J595" s="83">
        <v>35</v>
      </c>
      <c r="K595" s="84"/>
      <c r="L595" s="83" t="s">
        <v>12</v>
      </c>
      <c r="M595" s="83" t="s">
        <v>11</v>
      </c>
      <c r="N595" s="85">
        <v>45966</v>
      </c>
      <c r="O595" s="86" t="s">
        <v>10</v>
      </c>
      <c r="P595" s="85" t="s">
        <v>0</v>
      </c>
      <c r="Q595" s="91">
        <v>985046062</v>
      </c>
      <c r="R595" s="87"/>
      <c r="S595" s="30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</row>
    <row r="596" spans="2:37" ht="16.2" x14ac:dyDescent="0.3">
      <c r="B596" s="80">
        <v>588</v>
      </c>
      <c r="C596" s="84" t="s">
        <v>292</v>
      </c>
      <c r="D596" s="82" t="s">
        <v>291</v>
      </c>
      <c r="E596" s="83">
        <v>7734</v>
      </c>
      <c r="F596" s="83" t="s">
        <v>16</v>
      </c>
      <c r="G596" s="83" t="s">
        <v>164</v>
      </c>
      <c r="H596" s="83" t="s">
        <v>14</v>
      </c>
      <c r="I596" s="83" t="s">
        <v>1059</v>
      </c>
      <c r="J596" s="83">
        <v>75</v>
      </c>
      <c r="K596" s="84"/>
      <c r="L596" s="83" t="s">
        <v>12</v>
      </c>
      <c r="M596" s="83" t="s">
        <v>11</v>
      </c>
      <c r="N596" s="85">
        <v>45966</v>
      </c>
      <c r="O596" s="86" t="s">
        <v>25</v>
      </c>
      <c r="P596" s="85" t="s">
        <v>20</v>
      </c>
      <c r="Q596" s="91">
        <v>977990005</v>
      </c>
      <c r="R596" s="87"/>
      <c r="S596" s="30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</row>
    <row r="597" spans="2:37" ht="16.2" x14ac:dyDescent="0.3">
      <c r="B597" s="80">
        <v>589</v>
      </c>
      <c r="C597" s="84" t="s">
        <v>292</v>
      </c>
      <c r="D597" s="82" t="s">
        <v>291</v>
      </c>
      <c r="E597" s="83">
        <v>7735</v>
      </c>
      <c r="F597" s="83" t="s">
        <v>16</v>
      </c>
      <c r="G597" s="83" t="s">
        <v>164</v>
      </c>
      <c r="H597" s="83" t="s">
        <v>14</v>
      </c>
      <c r="I597" s="83" t="s">
        <v>785</v>
      </c>
      <c r="J597" s="83">
        <v>10</v>
      </c>
      <c r="K597" s="84"/>
      <c r="L597" s="83" t="s">
        <v>12</v>
      </c>
      <c r="M597" s="83" t="s">
        <v>11</v>
      </c>
      <c r="N597" s="85">
        <v>45966</v>
      </c>
      <c r="O597" s="86" t="s">
        <v>25</v>
      </c>
      <c r="P597" s="85" t="s">
        <v>20</v>
      </c>
      <c r="Q597" s="91">
        <v>977990005</v>
      </c>
      <c r="R597" s="87"/>
      <c r="S597" s="30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</row>
    <row r="598" spans="2:37" ht="16.2" x14ac:dyDescent="0.3">
      <c r="B598" s="80">
        <v>590</v>
      </c>
      <c r="C598" s="84" t="s">
        <v>294</v>
      </c>
      <c r="D598" s="82" t="s">
        <v>293</v>
      </c>
      <c r="E598" s="83">
        <v>7736</v>
      </c>
      <c r="F598" s="83" t="s">
        <v>16</v>
      </c>
      <c r="G598" s="83" t="s">
        <v>31</v>
      </c>
      <c r="H598" s="83" t="s">
        <v>14</v>
      </c>
      <c r="I598" s="83" t="s">
        <v>13</v>
      </c>
      <c r="J598" s="83">
        <v>35</v>
      </c>
      <c r="K598" s="84"/>
      <c r="L598" s="83" t="s">
        <v>12</v>
      </c>
      <c r="M598" s="83" t="s">
        <v>11</v>
      </c>
      <c r="N598" s="85">
        <v>45966</v>
      </c>
      <c r="O598" s="86" t="s">
        <v>25</v>
      </c>
      <c r="P598" s="85" t="s">
        <v>20</v>
      </c>
      <c r="Q598" s="91">
        <v>977990005</v>
      </c>
      <c r="R598" s="87"/>
      <c r="S598" s="30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</row>
    <row r="599" spans="2:37" ht="16.2" x14ac:dyDescent="0.3">
      <c r="B599" s="80">
        <v>591</v>
      </c>
      <c r="C599" s="84" t="s">
        <v>1082</v>
      </c>
      <c r="D599" s="82" t="s">
        <v>1083</v>
      </c>
      <c r="E599" s="83">
        <v>7737</v>
      </c>
      <c r="F599" s="83" t="s">
        <v>16</v>
      </c>
      <c r="G599" s="84" t="s">
        <v>72</v>
      </c>
      <c r="H599" s="83" t="s">
        <v>14</v>
      </c>
      <c r="I599" s="83" t="s">
        <v>13</v>
      </c>
      <c r="J599" s="83">
        <v>55</v>
      </c>
      <c r="K599" s="84"/>
      <c r="L599" s="83" t="s">
        <v>12</v>
      </c>
      <c r="M599" s="83" t="s">
        <v>11</v>
      </c>
      <c r="N599" s="85">
        <v>45966</v>
      </c>
      <c r="O599" s="86" t="s">
        <v>25</v>
      </c>
      <c r="P599" s="85" t="s">
        <v>20</v>
      </c>
      <c r="Q599" s="91" t="s">
        <v>1084</v>
      </c>
      <c r="R599" s="87"/>
      <c r="S599" s="30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</row>
    <row r="600" spans="2:37" ht="16.2" x14ac:dyDescent="0.3">
      <c r="B600" s="80">
        <v>592</v>
      </c>
      <c r="C600" s="84" t="s">
        <v>1085</v>
      </c>
      <c r="D600" s="82" t="s">
        <v>1086</v>
      </c>
      <c r="E600" s="83">
        <v>7738</v>
      </c>
      <c r="F600" s="83" t="s">
        <v>16</v>
      </c>
      <c r="G600" s="83" t="s">
        <v>167</v>
      </c>
      <c r="H600" s="83" t="s">
        <v>14</v>
      </c>
      <c r="I600" s="83" t="s">
        <v>13</v>
      </c>
      <c r="J600" s="83">
        <v>100</v>
      </c>
      <c r="K600" s="84"/>
      <c r="L600" s="83" t="s">
        <v>12</v>
      </c>
      <c r="M600" s="83" t="s">
        <v>11</v>
      </c>
      <c r="N600" s="85">
        <v>45966</v>
      </c>
      <c r="O600" s="86" t="s">
        <v>25</v>
      </c>
      <c r="P600" s="85" t="s">
        <v>20</v>
      </c>
      <c r="Q600" s="91">
        <v>990528748</v>
      </c>
      <c r="R600" s="87"/>
      <c r="S600" s="30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</row>
    <row r="601" spans="2:37" ht="16.2" x14ac:dyDescent="0.3">
      <c r="B601" s="80">
        <v>593</v>
      </c>
      <c r="C601" s="84" t="s">
        <v>419</v>
      </c>
      <c r="D601" s="82" t="s">
        <v>418</v>
      </c>
      <c r="E601" s="83">
        <v>7739</v>
      </c>
      <c r="F601" s="83" t="s">
        <v>28</v>
      </c>
      <c r="G601" s="83" t="s">
        <v>150</v>
      </c>
      <c r="H601" s="83" t="s">
        <v>14</v>
      </c>
      <c r="I601" s="83" t="s">
        <v>13</v>
      </c>
      <c r="J601" s="83">
        <v>45</v>
      </c>
      <c r="K601" s="84"/>
      <c r="L601" s="83" t="s">
        <v>26</v>
      </c>
      <c r="M601" s="83" t="s">
        <v>11</v>
      </c>
      <c r="N601" s="85">
        <v>45966</v>
      </c>
      <c r="O601" s="86" t="s">
        <v>10</v>
      </c>
      <c r="P601" s="85" t="s">
        <v>20</v>
      </c>
      <c r="Q601" s="91">
        <v>979373937</v>
      </c>
      <c r="R601" s="87"/>
      <c r="S601" s="30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</row>
    <row r="602" spans="2:37" ht="16.2" x14ac:dyDescent="0.3">
      <c r="B602" s="80">
        <v>594</v>
      </c>
      <c r="C602" s="84" t="s">
        <v>421</v>
      </c>
      <c r="D602" s="82" t="s">
        <v>420</v>
      </c>
      <c r="E602" s="83">
        <v>7740</v>
      </c>
      <c r="F602" s="83" t="s">
        <v>28</v>
      </c>
      <c r="G602" s="83" t="s">
        <v>22</v>
      </c>
      <c r="H602" s="83" t="s">
        <v>14</v>
      </c>
      <c r="I602" s="83" t="s">
        <v>13</v>
      </c>
      <c r="J602" s="83">
        <v>45</v>
      </c>
      <c r="K602" s="84"/>
      <c r="L602" s="83" t="s">
        <v>26</v>
      </c>
      <c r="M602" s="83" t="s">
        <v>11</v>
      </c>
      <c r="N602" s="85">
        <v>45966</v>
      </c>
      <c r="O602" s="86" t="s">
        <v>10</v>
      </c>
      <c r="P602" s="85" t="s">
        <v>20</v>
      </c>
      <c r="Q602" s="91">
        <v>977393937</v>
      </c>
      <c r="R602" s="87"/>
      <c r="S602" s="30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</row>
    <row r="603" spans="2:37" ht="16.2" x14ac:dyDescent="0.3">
      <c r="B603" s="80">
        <v>595</v>
      </c>
      <c r="C603" s="84" t="s">
        <v>1087</v>
      </c>
      <c r="D603" s="82" t="s">
        <v>1088</v>
      </c>
      <c r="E603" s="83">
        <v>7741</v>
      </c>
      <c r="F603" s="83" t="s">
        <v>28</v>
      </c>
      <c r="G603" s="84" t="s">
        <v>37</v>
      </c>
      <c r="H603" s="83" t="s">
        <v>14</v>
      </c>
      <c r="I603" s="83" t="s">
        <v>13</v>
      </c>
      <c r="J603" s="83">
        <v>45</v>
      </c>
      <c r="K603" s="84"/>
      <c r="L603" s="83" t="s">
        <v>12</v>
      </c>
      <c r="M603" s="83" t="s">
        <v>11</v>
      </c>
      <c r="N603" s="85">
        <v>45966</v>
      </c>
      <c r="O603" s="86" t="s">
        <v>10</v>
      </c>
      <c r="P603" s="85" t="s">
        <v>20</v>
      </c>
      <c r="Q603" s="91"/>
      <c r="R603" s="87"/>
      <c r="S603" s="30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</row>
    <row r="604" spans="2:37" ht="16.2" x14ac:dyDescent="0.3">
      <c r="B604" s="80">
        <v>596</v>
      </c>
      <c r="C604" s="84" t="s">
        <v>1089</v>
      </c>
      <c r="D604" s="82" t="s">
        <v>1090</v>
      </c>
      <c r="E604" s="83">
        <v>7742</v>
      </c>
      <c r="F604" s="83" t="s">
        <v>28</v>
      </c>
      <c r="G604" s="83" t="s">
        <v>133</v>
      </c>
      <c r="H604" s="83" t="s">
        <v>14</v>
      </c>
      <c r="I604" s="83" t="s">
        <v>13</v>
      </c>
      <c r="J604" s="83">
        <v>40</v>
      </c>
      <c r="K604" s="84"/>
      <c r="L604" s="83" t="s">
        <v>26</v>
      </c>
      <c r="M604" s="83" t="s">
        <v>11</v>
      </c>
      <c r="N604" s="85">
        <v>45966</v>
      </c>
      <c r="O604" s="86" t="s">
        <v>10</v>
      </c>
      <c r="P604" s="85" t="s">
        <v>9</v>
      </c>
      <c r="Q604" s="91">
        <v>810355324</v>
      </c>
      <c r="R604" s="87"/>
      <c r="S604" s="30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</row>
    <row r="605" spans="2:37" ht="16.2" x14ac:dyDescent="0.3">
      <c r="B605" s="80">
        <v>597</v>
      </c>
      <c r="C605" s="84" t="s">
        <v>572</v>
      </c>
      <c r="D605" s="82" t="s">
        <v>571</v>
      </c>
      <c r="E605" s="83">
        <v>7743</v>
      </c>
      <c r="F605" s="83" t="s">
        <v>16</v>
      </c>
      <c r="G605" s="84" t="s">
        <v>375</v>
      </c>
      <c r="H605" s="83" t="s">
        <v>14</v>
      </c>
      <c r="I605" s="83" t="s">
        <v>13</v>
      </c>
      <c r="J605" s="83">
        <v>40</v>
      </c>
      <c r="K605" s="84"/>
      <c r="L605" s="83" t="s">
        <v>12</v>
      </c>
      <c r="M605" s="83" t="s">
        <v>11</v>
      </c>
      <c r="N605" s="85">
        <v>45966</v>
      </c>
      <c r="O605" s="86" t="s">
        <v>10</v>
      </c>
      <c r="P605" s="85" t="s">
        <v>20</v>
      </c>
      <c r="Q605" s="91"/>
      <c r="R605" s="87"/>
      <c r="S605" s="30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</row>
    <row r="606" spans="2:37" ht="16.2" x14ac:dyDescent="0.3">
      <c r="B606" s="80">
        <v>598</v>
      </c>
      <c r="C606" s="84" t="s">
        <v>87</v>
      </c>
      <c r="D606" s="82" t="s">
        <v>86</v>
      </c>
      <c r="E606" s="83">
        <v>7744</v>
      </c>
      <c r="F606" s="83" t="s">
        <v>16</v>
      </c>
      <c r="G606" s="83" t="s">
        <v>15</v>
      </c>
      <c r="H606" s="83" t="s">
        <v>14</v>
      </c>
      <c r="I606" s="83" t="s">
        <v>103</v>
      </c>
      <c r="J606" s="83">
        <v>5</v>
      </c>
      <c r="K606" s="84"/>
      <c r="L606" s="83" t="s">
        <v>26</v>
      </c>
      <c r="M606" s="83" t="s">
        <v>11</v>
      </c>
      <c r="N606" s="85">
        <v>45966</v>
      </c>
      <c r="O606" s="86" t="s">
        <v>10</v>
      </c>
      <c r="P606" s="85" t="s">
        <v>9</v>
      </c>
      <c r="Q606" s="91"/>
      <c r="R606" s="87"/>
      <c r="S606" s="30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</row>
    <row r="607" spans="2:37" ht="16.2" x14ac:dyDescent="0.3">
      <c r="B607" s="80">
        <v>599</v>
      </c>
      <c r="C607" s="84" t="s">
        <v>87</v>
      </c>
      <c r="D607" s="82" t="s">
        <v>86</v>
      </c>
      <c r="E607" s="83">
        <v>7745</v>
      </c>
      <c r="F607" s="83" t="s">
        <v>16</v>
      </c>
      <c r="G607" s="83" t="s">
        <v>15</v>
      </c>
      <c r="H607" s="83" t="s">
        <v>14</v>
      </c>
      <c r="I607" s="83" t="s">
        <v>13</v>
      </c>
      <c r="J607" s="83">
        <v>35</v>
      </c>
      <c r="K607" s="84"/>
      <c r="L607" s="83" t="s">
        <v>26</v>
      </c>
      <c r="M607" s="83" t="s">
        <v>11</v>
      </c>
      <c r="N607" s="85">
        <v>45966</v>
      </c>
      <c r="O607" s="86" t="s">
        <v>10</v>
      </c>
      <c r="P607" s="85" t="s">
        <v>9</v>
      </c>
      <c r="Q607" s="91"/>
      <c r="R607" s="87"/>
      <c r="S607" s="30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</row>
    <row r="608" spans="2:37" ht="16.2" customHeight="1" x14ac:dyDescent="0.3">
      <c r="B608" s="80">
        <v>600</v>
      </c>
      <c r="C608" s="84" t="s">
        <v>676</v>
      </c>
      <c r="D608" s="82" t="s">
        <v>675</v>
      </c>
      <c r="E608" s="83">
        <v>7746</v>
      </c>
      <c r="F608" s="83" t="s">
        <v>16</v>
      </c>
      <c r="G608" s="84" t="s">
        <v>40</v>
      </c>
      <c r="H608" s="83" t="s">
        <v>14</v>
      </c>
      <c r="I608" s="83" t="s">
        <v>13</v>
      </c>
      <c r="J608" s="83">
        <v>40</v>
      </c>
      <c r="K608" s="84"/>
      <c r="L608" s="83" t="s">
        <v>26</v>
      </c>
      <c r="M608" s="83" t="s">
        <v>11</v>
      </c>
      <c r="N608" s="85">
        <v>45966</v>
      </c>
      <c r="O608" s="86" t="s">
        <v>10</v>
      </c>
      <c r="P608" s="85" t="s">
        <v>0</v>
      </c>
      <c r="Q608" s="91" t="s">
        <v>1091</v>
      </c>
      <c r="R608" s="87">
        <v>0</v>
      </c>
      <c r="S608" s="30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</row>
    <row r="609" spans="2:37" ht="16.2" x14ac:dyDescent="0.3">
      <c r="B609" s="80">
        <v>601</v>
      </c>
      <c r="C609" s="84" t="s">
        <v>716</v>
      </c>
      <c r="D609" s="82" t="s">
        <v>715</v>
      </c>
      <c r="E609" s="83">
        <v>7747</v>
      </c>
      <c r="F609" s="83" t="s">
        <v>28</v>
      </c>
      <c r="G609" s="83" t="s">
        <v>22</v>
      </c>
      <c r="H609" s="83" t="s">
        <v>14</v>
      </c>
      <c r="I609" s="83" t="s">
        <v>281</v>
      </c>
      <c r="J609" s="83">
        <v>40</v>
      </c>
      <c r="K609" s="84"/>
      <c r="L609" s="83" t="s">
        <v>26</v>
      </c>
      <c r="M609" s="83" t="s">
        <v>11</v>
      </c>
      <c r="N609" s="85">
        <v>45966</v>
      </c>
      <c r="O609" s="86" t="s">
        <v>10</v>
      </c>
      <c r="P609" s="85" t="s">
        <v>20</v>
      </c>
      <c r="Q609" s="91">
        <v>832970855</v>
      </c>
      <c r="R609" s="87"/>
      <c r="S609" s="30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</row>
    <row r="610" spans="2:37" ht="16.2" x14ac:dyDescent="0.3">
      <c r="B610" s="80">
        <v>602</v>
      </c>
      <c r="C610" s="84" t="s">
        <v>745</v>
      </c>
      <c r="D610" s="82" t="s">
        <v>744</v>
      </c>
      <c r="E610" s="83">
        <v>7748</v>
      </c>
      <c r="F610" s="83" t="s">
        <v>16</v>
      </c>
      <c r="G610" s="83" t="s">
        <v>237</v>
      </c>
      <c r="H610" s="83" t="s">
        <v>14</v>
      </c>
      <c r="I610" s="83" t="s">
        <v>13</v>
      </c>
      <c r="J610" s="83">
        <v>55</v>
      </c>
      <c r="K610" s="84"/>
      <c r="L610" s="83" t="s">
        <v>12</v>
      </c>
      <c r="M610" s="83" t="s">
        <v>11</v>
      </c>
      <c r="N610" s="85">
        <v>45966</v>
      </c>
      <c r="O610" s="86" t="s">
        <v>10</v>
      </c>
      <c r="P610" s="85" t="s">
        <v>20</v>
      </c>
      <c r="Q610" s="91">
        <v>990268855</v>
      </c>
      <c r="R610" s="87"/>
      <c r="S610" s="30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</row>
    <row r="611" spans="2:37" ht="16.2" x14ac:dyDescent="0.3">
      <c r="B611" s="80">
        <v>603</v>
      </c>
      <c r="C611" s="84" t="s">
        <v>743</v>
      </c>
      <c r="D611" s="82" t="s">
        <v>742</v>
      </c>
      <c r="E611" s="83">
        <v>7749</v>
      </c>
      <c r="F611" s="83" t="s">
        <v>16</v>
      </c>
      <c r="G611" s="83" t="s">
        <v>37</v>
      </c>
      <c r="H611" s="83" t="s">
        <v>14</v>
      </c>
      <c r="I611" s="83" t="s">
        <v>13</v>
      </c>
      <c r="J611" s="83">
        <v>45</v>
      </c>
      <c r="K611" s="84"/>
      <c r="L611" s="83" t="s">
        <v>26</v>
      </c>
      <c r="M611" s="83" t="s">
        <v>11</v>
      </c>
      <c r="N611" s="85">
        <v>45966</v>
      </c>
      <c r="O611" s="86" t="s">
        <v>10</v>
      </c>
      <c r="P611" s="85" t="s">
        <v>20</v>
      </c>
      <c r="Q611" s="91"/>
      <c r="R611" s="87"/>
      <c r="S611" s="30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</row>
    <row r="612" spans="2:37" ht="16.2" x14ac:dyDescent="0.3">
      <c r="B612" s="80">
        <v>604</v>
      </c>
      <c r="C612" s="84" t="s">
        <v>741</v>
      </c>
      <c r="D612" s="82" t="s">
        <v>740</v>
      </c>
      <c r="E612" s="83">
        <v>7750</v>
      </c>
      <c r="F612" s="83" t="s">
        <v>16</v>
      </c>
      <c r="G612" s="83" t="s">
        <v>83</v>
      </c>
      <c r="H612" s="83" t="s">
        <v>14</v>
      </c>
      <c r="I612" s="83" t="s">
        <v>13</v>
      </c>
      <c r="J612" s="83">
        <v>40</v>
      </c>
      <c r="K612" s="84"/>
      <c r="L612" s="83" t="s">
        <v>26</v>
      </c>
      <c r="M612" s="83" t="s">
        <v>11</v>
      </c>
      <c r="N612" s="85">
        <v>45966</v>
      </c>
      <c r="O612" s="86" t="s">
        <v>10</v>
      </c>
      <c r="P612" s="85" t="s">
        <v>9</v>
      </c>
      <c r="Q612" s="91">
        <v>853419627</v>
      </c>
      <c r="R612" s="87"/>
      <c r="S612" s="30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</row>
    <row r="613" spans="2:37" ht="16.2" x14ac:dyDescent="0.3">
      <c r="B613" s="80">
        <v>605</v>
      </c>
      <c r="C613" s="84" t="s">
        <v>374</v>
      </c>
      <c r="D613" s="82" t="s">
        <v>373</v>
      </c>
      <c r="E613" s="83">
        <v>7751</v>
      </c>
      <c r="F613" s="83" t="s">
        <v>16</v>
      </c>
      <c r="G613" s="83" t="s">
        <v>22</v>
      </c>
      <c r="H613" s="83" t="s">
        <v>14</v>
      </c>
      <c r="I613" s="83" t="s">
        <v>103</v>
      </c>
      <c r="J613" s="83">
        <v>5</v>
      </c>
      <c r="K613" s="84"/>
      <c r="L613" s="83" t="s">
        <v>26</v>
      </c>
      <c r="M613" s="83" t="s">
        <v>11</v>
      </c>
      <c r="N613" s="85">
        <v>45966</v>
      </c>
      <c r="O613" s="86" t="s">
        <v>10</v>
      </c>
      <c r="P613" s="85" t="s">
        <v>20</v>
      </c>
      <c r="Q613" s="91">
        <v>970377001</v>
      </c>
      <c r="R613" s="87"/>
      <c r="S613" s="30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</row>
    <row r="614" spans="2:37" ht="16.2" x14ac:dyDescent="0.3">
      <c r="B614" s="80">
        <v>606</v>
      </c>
      <c r="C614" s="84" t="s">
        <v>374</v>
      </c>
      <c r="D614" s="82" t="s">
        <v>373</v>
      </c>
      <c r="E614" s="83">
        <v>7752</v>
      </c>
      <c r="F614" s="83" t="s">
        <v>16</v>
      </c>
      <c r="G614" s="84" t="s">
        <v>22</v>
      </c>
      <c r="H614" s="83" t="s">
        <v>14</v>
      </c>
      <c r="I614" s="83" t="s">
        <v>13</v>
      </c>
      <c r="J614" s="83">
        <v>45</v>
      </c>
      <c r="K614" s="84"/>
      <c r="L614" s="83" t="s">
        <v>26</v>
      </c>
      <c r="M614" s="83" t="s">
        <v>11</v>
      </c>
      <c r="N614" s="85">
        <v>45966</v>
      </c>
      <c r="O614" s="86" t="s">
        <v>10</v>
      </c>
      <c r="P614" s="85" t="s">
        <v>20</v>
      </c>
      <c r="Q614" s="91">
        <v>970377001</v>
      </c>
      <c r="R614" s="87"/>
      <c r="S614" s="30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</row>
    <row r="615" spans="2:37" ht="16.2" x14ac:dyDescent="0.3">
      <c r="B615" s="80">
        <v>607</v>
      </c>
      <c r="C615" s="84" t="s">
        <v>377</v>
      </c>
      <c r="D615" s="82" t="s">
        <v>376</v>
      </c>
      <c r="E615" s="83">
        <v>7753</v>
      </c>
      <c r="F615" s="83" t="s">
        <v>16</v>
      </c>
      <c r="G615" s="83" t="s">
        <v>375</v>
      </c>
      <c r="H615" s="83" t="s">
        <v>14</v>
      </c>
      <c r="I615" s="83" t="s">
        <v>13</v>
      </c>
      <c r="J615" s="83">
        <v>45</v>
      </c>
      <c r="K615" s="84"/>
      <c r="L615" s="83" t="s">
        <v>12</v>
      </c>
      <c r="M615" s="83" t="s">
        <v>11</v>
      </c>
      <c r="N615" s="85">
        <v>45966</v>
      </c>
      <c r="O615" s="86" t="s">
        <v>10</v>
      </c>
      <c r="P615" s="85" t="s">
        <v>20</v>
      </c>
      <c r="Q615" s="91">
        <v>970377001</v>
      </c>
      <c r="R615" s="87"/>
      <c r="S615" s="30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</row>
    <row r="616" spans="2:37" ht="16.2" x14ac:dyDescent="0.3">
      <c r="B616" s="80">
        <v>608</v>
      </c>
      <c r="C616" s="84" t="s">
        <v>739</v>
      </c>
      <c r="D616" s="82" t="s">
        <v>738</v>
      </c>
      <c r="E616" s="83">
        <v>7754</v>
      </c>
      <c r="F616" s="83" t="s">
        <v>16</v>
      </c>
      <c r="G616" s="83" t="s">
        <v>133</v>
      </c>
      <c r="H616" s="83" t="s">
        <v>14</v>
      </c>
      <c r="I616" s="83" t="s">
        <v>13</v>
      </c>
      <c r="J616" s="83">
        <v>40</v>
      </c>
      <c r="K616" s="84"/>
      <c r="L616" s="83" t="s">
        <v>26</v>
      </c>
      <c r="M616" s="83" t="s">
        <v>11</v>
      </c>
      <c r="N616" s="85">
        <v>45966</v>
      </c>
      <c r="O616" s="86" t="s">
        <v>10</v>
      </c>
      <c r="P616" s="85" t="s">
        <v>9</v>
      </c>
      <c r="Q616" s="91">
        <v>853419627</v>
      </c>
      <c r="R616" s="87"/>
      <c r="S616" s="30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</row>
    <row r="617" spans="2:37" ht="16.2" customHeight="1" x14ac:dyDescent="0.3">
      <c r="B617" s="80">
        <v>609</v>
      </c>
      <c r="C617" s="84" t="s">
        <v>559</v>
      </c>
      <c r="D617" s="82" t="s">
        <v>558</v>
      </c>
      <c r="E617" s="83">
        <v>7755</v>
      </c>
      <c r="F617" s="83" t="s">
        <v>16</v>
      </c>
      <c r="G617" s="83" t="s">
        <v>65</v>
      </c>
      <c r="H617" s="83" t="s">
        <v>14</v>
      </c>
      <c r="I617" s="83" t="s">
        <v>13</v>
      </c>
      <c r="J617" s="83">
        <v>45</v>
      </c>
      <c r="K617" s="84"/>
      <c r="L617" s="83" t="s">
        <v>12</v>
      </c>
      <c r="M617" s="83" t="s">
        <v>11</v>
      </c>
      <c r="N617" s="85">
        <v>45966</v>
      </c>
      <c r="O617" s="86" t="s">
        <v>25</v>
      </c>
      <c r="P617" s="85" t="s">
        <v>20</v>
      </c>
      <c r="Q617" s="91">
        <v>976661944</v>
      </c>
      <c r="R617" s="87"/>
      <c r="S617" s="30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</row>
    <row r="618" spans="2:37" ht="16.2" x14ac:dyDescent="0.3">
      <c r="B618" s="80">
        <v>610</v>
      </c>
      <c r="C618" s="84" t="s">
        <v>561</v>
      </c>
      <c r="D618" s="82" t="s">
        <v>560</v>
      </c>
      <c r="E618" s="83">
        <v>7756</v>
      </c>
      <c r="F618" s="83" t="s">
        <v>16</v>
      </c>
      <c r="G618" s="84" t="s">
        <v>100</v>
      </c>
      <c r="H618" s="83" t="s">
        <v>14</v>
      </c>
      <c r="I618" s="83" t="s">
        <v>281</v>
      </c>
      <c r="J618" s="83">
        <v>45</v>
      </c>
      <c r="K618" s="84"/>
      <c r="L618" s="83" t="s">
        <v>12</v>
      </c>
      <c r="M618" s="83" t="s">
        <v>11</v>
      </c>
      <c r="N618" s="85">
        <v>45966</v>
      </c>
      <c r="O618" s="86" t="s">
        <v>10</v>
      </c>
      <c r="P618" s="85" t="s">
        <v>20</v>
      </c>
      <c r="Q618" s="91">
        <v>999863003</v>
      </c>
      <c r="R618" s="87"/>
      <c r="S618" s="30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</row>
    <row r="619" spans="2:37" ht="16.2" x14ac:dyDescent="0.3">
      <c r="B619" s="80">
        <v>611</v>
      </c>
      <c r="C619" s="84" t="s">
        <v>632</v>
      </c>
      <c r="D619" s="82" t="s">
        <v>631</v>
      </c>
      <c r="E619" s="83">
        <v>7757</v>
      </c>
      <c r="F619" s="83" t="s">
        <v>16</v>
      </c>
      <c r="G619" s="83" t="s">
        <v>97</v>
      </c>
      <c r="H619" s="83" t="s">
        <v>14</v>
      </c>
      <c r="I619" s="83" t="s">
        <v>13</v>
      </c>
      <c r="J619" s="83">
        <v>100</v>
      </c>
      <c r="K619" s="84"/>
      <c r="L619" s="83" t="s">
        <v>12</v>
      </c>
      <c r="M619" s="83" t="s">
        <v>11</v>
      </c>
      <c r="N619" s="85">
        <v>45966</v>
      </c>
      <c r="O619" s="86" t="s">
        <v>25</v>
      </c>
      <c r="P619" s="85" t="s">
        <v>20</v>
      </c>
      <c r="Q619" s="91">
        <v>993792484</v>
      </c>
      <c r="R619" s="87"/>
      <c r="S619" s="30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</row>
    <row r="620" spans="2:37" ht="16.2" x14ac:dyDescent="0.3">
      <c r="B620" s="80">
        <v>612</v>
      </c>
      <c r="C620" s="84" t="s">
        <v>770</v>
      </c>
      <c r="D620" s="82" t="s">
        <v>769</v>
      </c>
      <c r="E620" s="83">
        <v>7758</v>
      </c>
      <c r="F620" s="83" t="s">
        <v>28</v>
      </c>
      <c r="G620" s="83" t="s">
        <v>106</v>
      </c>
      <c r="H620" s="83" t="s">
        <v>14</v>
      </c>
      <c r="I620" s="83" t="s">
        <v>13</v>
      </c>
      <c r="J620" s="83">
        <v>100</v>
      </c>
      <c r="K620" s="84"/>
      <c r="L620" s="83" t="s">
        <v>12</v>
      </c>
      <c r="M620" s="83" t="s">
        <v>11</v>
      </c>
      <c r="N620" s="85">
        <v>45966</v>
      </c>
      <c r="O620" s="86" t="s">
        <v>25</v>
      </c>
      <c r="P620" s="85" t="s">
        <v>20</v>
      </c>
      <c r="Q620" s="91">
        <v>814001138</v>
      </c>
      <c r="R620" s="87"/>
      <c r="S620" s="30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</row>
    <row r="621" spans="2:37" ht="16.2" x14ac:dyDescent="0.3">
      <c r="B621" s="80">
        <v>613</v>
      </c>
      <c r="C621" s="84" t="s">
        <v>850</v>
      </c>
      <c r="D621" s="82" t="s">
        <v>851</v>
      </c>
      <c r="E621" s="83">
        <v>7759</v>
      </c>
      <c r="F621" s="83" t="s">
        <v>28</v>
      </c>
      <c r="G621" s="83" t="s">
        <v>124</v>
      </c>
      <c r="H621" s="83" t="s">
        <v>14</v>
      </c>
      <c r="I621" s="83" t="s">
        <v>13</v>
      </c>
      <c r="J621" s="83">
        <v>55</v>
      </c>
      <c r="K621" s="84"/>
      <c r="L621" s="83" t="s">
        <v>26</v>
      </c>
      <c r="M621" s="83" t="s">
        <v>11</v>
      </c>
      <c r="N621" s="85">
        <v>45966</v>
      </c>
      <c r="O621" s="86" t="s">
        <v>25</v>
      </c>
      <c r="P621" s="85" t="s">
        <v>20</v>
      </c>
      <c r="Q621" s="91"/>
      <c r="R621" s="87"/>
      <c r="S621" s="30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</row>
    <row r="622" spans="2:37" ht="16.2" x14ac:dyDescent="0.3">
      <c r="B622" s="80">
        <v>614</v>
      </c>
      <c r="C622" s="84" t="s">
        <v>491</v>
      </c>
      <c r="D622" s="82" t="s">
        <v>490</v>
      </c>
      <c r="E622" s="83">
        <v>7760</v>
      </c>
      <c r="F622" s="83" t="s">
        <v>28</v>
      </c>
      <c r="G622" s="83" t="s">
        <v>106</v>
      </c>
      <c r="H622" s="83" t="s">
        <v>14</v>
      </c>
      <c r="I622" s="83" t="s">
        <v>281</v>
      </c>
      <c r="J622" s="83">
        <v>80</v>
      </c>
      <c r="K622" s="84"/>
      <c r="L622" s="83" t="s">
        <v>26</v>
      </c>
      <c r="M622" s="83" t="s">
        <v>11</v>
      </c>
      <c r="N622" s="85">
        <v>45966</v>
      </c>
      <c r="O622" s="86" t="s">
        <v>25</v>
      </c>
      <c r="P622" s="85" t="s">
        <v>20</v>
      </c>
      <c r="Q622" s="91">
        <v>995373173</v>
      </c>
      <c r="R622" s="87"/>
      <c r="S622" s="30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</row>
    <row r="623" spans="2:37" ht="16.2" x14ac:dyDescent="0.3">
      <c r="B623" s="80">
        <v>615</v>
      </c>
      <c r="C623" s="84" t="s">
        <v>457</v>
      </c>
      <c r="D623" s="82" t="s">
        <v>456</v>
      </c>
      <c r="E623" s="83">
        <v>7762</v>
      </c>
      <c r="F623" s="83" t="s">
        <v>16</v>
      </c>
      <c r="G623" s="84" t="s">
        <v>201</v>
      </c>
      <c r="H623" s="83" t="s">
        <v>14</v>
      </c>
      <c r="I623" s="83" t="s">
        <v>13</v>
      </c>
      <c r="J623" s="83">
        <v>40</v>
      </c>
      <c r="K623" s="84"/>
      <c r="L623" s="83" t="s">
        <v>26</v>
      </c>
      <c r="M623" s="83" t="s">
        <v>11</v>
      </c>
      <c r="N623" s="85">
        <v>45966</v>
      </c>
      <c r="O623" s="86" t="s">
        <v>10</v>
      </c>
      <c r="P623" s="85" t="s">
        <v>9</v>
      </c>
      <c r="Q623" s="91">
        <v>995520608</v>
      </c>
      <c r="R623" s="87"/>
      <c r="S623" s="30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</row>
    <row r="624" spans="2:37" ht="16.2" x14ac:dyDescent="0.3">
      <c r="B624" s="80">
        <v>616</v>
      </c>
      <c r="C624" s="84" t="s">
        <v>455</v>
      </c>
      <c r="D624" s="82" t="s">
        <v>454</v>
      </c>
      <c r="E624" s="83">
        <v>7763</v>
      </c>
      <c r="F624" s="83" t="s">
        <v>28</v>
      </c>
      <c r="G624" s="83" t="s">
        <v>50</v>
      </c>
      <c r="H624" s="83" t="s">
        <v>14</v>
      </c>
      <c r="I624" s="83" t="s">
        <v>13</v>
      </c>
      <c r="J624" s="83">
        <v>40</v>
      </c>
      <c r="K624" s="84"/>
      <c r="L624" s="83" t="s">
        <v>26</v>
      </c>
      <c r="M624" s="83" t="s">
        <v>11</v>
      </c>
      <c r="N624" s="85">
        <v>45966</v>
      </c>
      <c r="O624" s="86" t="s">
        <v>10</v>
      </c>
      <c r="P624" s="85" t="s">
        <v>9</v>
      </c>
      <c r="Q624" s="91">
        <v>995520608</v>
      </c>
      <c r="R624" s="87"/>
      <c r="S624" s="30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</row>
    <row r="625" spans="2:37" ht="16.2" x14ac:dyDescent="0.3">
      <c r="B625" s="80">
        <v>617</v>
      </c>
      <c r="C625" s="84" t="s">
        <v>459</v>
      </c>
      <c r="D625" s="82" t="s">
        <v>458</v>
      </c>
      <c r="E625" s="83">
        <v>7764</v>
      </c>
      <c r="F625" s="83" t="s">
        <v>28</v>
      </c>
      <c r="G625" s="83" t="s">
        <v>22</v>
      </c>
      <c r="H625" s="83" t="s">
        <v>14</v>
      </c>
      <c r="I625" s="83" t="s">
        <v>281</v>
      </c>
      <c r="J625" s="83">
        <v>40</v>
      </c>
      <c r="K625" s="84"/>
      <c r="L625" s="83" t="s">
        <v>12</v>
      </c>
      <c r="M625" s="83" t="s">
        <v>11</v>
      </c>
      <c r="N625" s="85">
        <v>45966</v>
      </c>
      <c r="O625" s="86" t="s">
        <v>10</v>
      </c>
      <c r="P625" s="85" t="s">
        <v>20</v>
      </c>
      <c r="Q625" s="91"/>
      <c r="R625" s="87"/>
      <c r="S625" s="30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</row>
    <row r="626" spans="2:37" ht="16.2" x14ac:dyDescent="0.3">
      <c r="B626" s="80">
        <v>618</v>
      </c>
      <c r="C626" s="84" t="s">
        <v>30</v>
      </c>
      <c r="D626" s="82" t="s">
        <v>29</v>
      </c>
      <c r="E626" s="83">
        <v>7765</v>
      </c>
      <c r="F626" s="83" t="s">
        <v>28</v>
      </c>
      <c r="G626" s="83" t="s">
        <v>27</v>
      </c>
      <c r="H626" s="83" t="s">
        <v>14</v>
      </c>
      <c r="I626" s="83" t="s">
        <v>13</v>
      </c>
      <c r="J626" s="83">
        <v>55</v>
      </c>
      <c r="K626" s="84"/>
      <c r="L626" s="83" t="s">
        <v>26</v>
      </c>
      <c r="M626" s="83" t="s">
        <v>11</v>
      </c>
      <c r="N626" s="85">
        <v>45966</v>
      </c>
      <c r="O626" s="86" t="s">
        <v>25</v>
      </c>
      <c r="P626" s="85" t="s">
        <v>20</v>
      </c>
      <c r="Q626" s="91">
        <v>992051504</v>
      </c>
      <c r="R626" s="87"/>
      <c r="S626" s="30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</row>
    <row r="627" spans="2:37" ht="16.2" x14ac:dyDescent="0.3">
      <c r="B627" s="80">
        <v>619</v>
      </c>
      <c r="C627" s="84" t="s">
        <v>557</v>
      </c>
      <c r="D627" s="82" t="s">
        <v>556</v>
      </c>
      <c r="E627" s="83">
        <v>7766</v>
      </c>
      <c r="F627" s="83" t="s">
        <v>28</v>
      </c>
      <c r="G627" s="84" t="s">
        <v>97</v>
      </c>
      <c r="H627" s="83" t="s">
        <v>14</v>
      </c>
      <c r="I627" s="83" t="s">
        <v>13</v>
      </c>
      <c r="J627" s="83">
        <v>100</v>
      </c>
      <c r="K627" s="84"/>
      <c r="L627" s="83" t="s">
        <v>26</v>
      </c>
      <c r="M627" s="83" t="s">
        <v>11</v>
      </c>
      <c r="N627" s="85">
        <v>45966</v>
      </c>
      <c r="O627" s="86" t="s">
        <v>25</v>
      </c>
      <c r="P627" s="85" t="s">
        <v>20</v>
      </c>
      <c r="Q627" s="91"/>
      <c r="R627" s="87"/>
      <c r="S627" s="30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</row>
    <row r="628" spans="2:37" ht="16.2" x14ac:dyDescent="0.3">
      <c r="B628" s="80">
        <v>620</v>
      </c>
      <c r="C628" s="84" t="s">
        <v>344</v>
      </c>
      <c r="D628" s="82" t="s">
        <v>343</v>
      </c>
      <c r="E628" s="83">
        <v>7767</v>
      </c>
      <c r="F628" s="83" t="s">
        <v>28</v>
      </c>
      <c r="G628" s="83" t="s">
        <v>100</v>
      </c>
      <c r="H628" s="83" t="s">
        <v>14</v>
      </c>
      <c r="I628" s="83" t="s">
        <v>13</v>
      </c>
      <c r="J628" s="83">
        <v>55</v>
      </c>
      <c r="K628" s="84"/>
      <c r="L628" s="83" t="s">
        <v>12</v>
      </c>
      <c r="M628" s="83" t="s">
        <v>11</v>
      </c>
      <c r="N628" s="85">
        <v>45966</v>
      </c>
      <c r="O628" s="86" t="s">
        <v>10</v>
      </c>
      <c r="P628" s="85" t="s">
        <v>20</v>
      </c>
      <c r="Q628" s="91" t="s">
        <v>1092</v>
      </c>
      <c r="R628" s="87"/>
      <c r="S628" s="30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</row>
    <row r="629" spans="2:37" ht="16.2" x14ac:dyDescent="0.3">
      <c r="B629" s="80">
        <v>621</v>
      </c>
      <c r="C629" s="84" t="s">
        <v>423</v>
      </c>
      <c r="D629" s="82" t="s">
        <v>422</v>
      </c>
      <c r="E629" s="83">
        <v>7768</v>
      </c>
      <c r="F629" s="83" t="s">
        <v>16</v>
      </c>
      <c r="G629" s="83" t="s">
        <v>164</v>
      </c>
      <c r="H629" s="83" t="s">
        <v>14</v>
      </c>
      <c r="I629" s="83" t="s">
        <v>13</v>
      </c>
      <c r="J629" s="83">
        <v>100</v>
      </c>
      <c r="K629" s="84"/>
      <c r="L629" s="83" t="s">
        <v>12</v>
      </c>
      <c r="M629" s="83" t="s">
        <v>11</v>
      </c>
      <c r="N629" s="85">
        <v>45966</v>
      </c>
      <c r="O629" s="86" t="s">
        <v>25</v>
      </c>
      <c r="P629" s="85" t="s">
        <v>20</v>
      </c>
      <c r="Q629" s="91">
        <v>97555868</v>
      </c>
      <c r="R629" s="87"/>
      <c r="S629" s="30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</row>
    <row r="630" spans="2:37" ht="16.2" x14ac:dyDescent="0.3">
      <c r="B630" s="80">
        <v>622</v>
      </c>
      <c r="C630" s="84" t="s">
        <v>425</v>
      </c>
      <c r="D630" s="82" t="s">
        <v>424</v>
      </c>
      <c r="E630" s="83">
        <v>7769</v>
      </c>
      <c r="F630" s="83" t="s">
        <v>28</v>
      </c>
      <c r="G630" s="83" t="s">
        <v>27</v>
      </c>
      <c r="H630" s="83" t="s">
        <v>14</v>
      </c>
      <c r="I630" s="83" t="s">
        <v>13</v>
      </c>
      <c r="J630" s="83">
        <v>100</v>
      </c>
      <c r="K630" s="84"/>
      <c r="L630" s="83" t="s">
        <v>12</v>
      </c>
      <c r="M630" s="83" t="s">
        <v>11</v>
      </c>
      <c r="N630" s="85">
        <v>45966</v>
      </c>
      <c r="O630" s="86" t="s">
        <v>25</v>
      </c>
      <c r="P630" s="85" t="s">
        <v>20</v>
      </c>
      <c r="Q630" s="91">
        <v>979373937</v>
      </c>
      <c r="R630" s="87"/>
      <c r="S630" s="30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</row>
    <row r="631" spans="2:37" ht="16.2" x14ac:dyDescent="0.3">
      <c r="B631" s="80">
        <v>623</v>
      </c>
      <c r="C631" s="84" t="s">
        <v>733</v>
      </c>
      <c r="D631" s="82" t="s">
        <v>732</v>
      </c>
      <c r="E631" s="83">
        <v>7771</v>
      </c>
      <c r="F631" s="83" t="s">
        <v>28</v>
      </c>
      <c r="G631" s="83" t="s">
        <v>106</v>
      </c>
      <c r="H631" s="83" t="s">
        <v>14</v>
      </c>
      <c r="I631" s="83" t="s">
        <v>281</v>
      </c>
      <c r="J631" s="83">
        <v>60</v>
      </c>
      <c r="K631" s="84"/>
      <c r="L631" s="83" t="s">
        <v>12</v>
      </c>
      <c r="M631" s="83" t="s">
        <v>11</v>
      </c>
      <c r="N631" s="85">
        <v>45966</v>
      </c>
      <c r="O631" s="86" t="s">
        <v>25</v>
      </c>
      <c r="P631" s="85" t="s">
        <v>20</v>
      </c>
      <c r="Q631" s="91">
        <v>996977963</v>
      </c>
      <c r="R631" s="87"/>
      <c r="S631" s="30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</row>
    <row r="632" spans="2:37" ht="16.2" x14ac:dyDescent="0.3">
      <c r="B632" s="80">
        <v>624</v>
      </c>
      <c r="C632" s="84" t="s">
        <v>731</v>
      </c>
      <c r="D632" s="82" t="s">
        <v>730</v>
      </c>
      <c r="E632" s="83">
        <v>7772</v>
      </c>
      <c r="F632" s="83" t="s">
        <v>28</v>
      </c>
      <c r="G632" s="83" t="s">
        <v>22</v>
      </c>
      <c r="H632" s="83" t="s">
        <v>14</v>
      </c>
      <c r="I632" s="83" t="s">
        <v>13</v>
      </c>
      <c r="J632" s="83">
        <v>40</v>
      </c>
      <c r="K632" s="84"/>
      <c r="L632" s="83" t="s">
        <v>26</v>
      </c>
      <c r="M632" s="83" t="s">
        <v>11</v>
      </c>
      <c r="N632" s="85">
        <v>45966</v>
      </c>
      <c r="O632" s="86" t="s">
        <v>10</v>
      </c>
      <c r="P632" s="85" t="s">
        <v>20</v>
      </c>
      <c r="Q632" s="91">
        <v>996977963</v>
      </c>
      <c r="R632" s="87"/>
      <c r="S632" s="30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</row>
    <row r="633" spans="2:37" ht="16.2" x14ac:dyDescent="0.3">
      <c r="B633" s="80">
        <v>625</v>
      </c>
      <c r="C633" s="81" t="s">
        <v>444</v>
      </c>
      <c r="D633" s="82" t="s">
        <v>443</v>
      </c>
      <c r="E633" s="83">
        <v>7770</v>
      </c>
      <c r="F633" s="83" t="s">
        <v>16</v>
      </c>
      <c r="G633" s="84" t="s">
        <v>167</v>
      </c>
      <c r="H633" s="83" t="s">
        <v>14</v>
      </c>
      <c r="I633" s="83" t="s">
        <v>13</v>
      </c>
      <c r="J633" s="83">
        <v>90</v>
      </c>
      <c r="K633" s="84"/>
      <c r="L633" s="83" t="s">
        <v>12</v>
      </c>
      <c r="M633" s="83" t="s">
        <v>11</v>
      </c>
      <c r="N633" s="85">
        <v>45966</v>
      </c>
      <c r="O633" s="86" t="s">
        <v>25</v>
      </c>
      <c r="P633" s="85" t="s">
        <v>20</v>
      </c>
      <c r="Q633" s="91">
        <v>977014941</v>
      </c>
      <c r="R633" s="87"/>
      <c r="S633" s="30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</row>
    <row r="634" spans="2:37" ht="16.2" x14ac:dyDescent="0.3">
      <c r="B634" s="80">
        <v>626</v>
      </c>
      <c r="C634" s="84" t="s">
        <v>668</v>
      </c>
      <c r="D634" s="82" t="s">
        <v>667</v>
      </c>
      <c r="E634" s="83">
        <v>7773</v>
      </c>
      <c r="F634" s="83" t="s">
        <v>28</v>
      </c>
      <c r="G634" s="83" t="s">
        <v>46</v>
      </c>
      <c r="H634" s="83" t="s">
        <v>14</v>
      </c>
      <c r="I634" s="83" t="s">
        <v>13</v>
      </c>
      <c r="J634" s="83">
        <v>40</v>
      </c>
      <c r="K634" s="84"/>
      <c r="L634" s="83" t="s">
        <v>26</v>
      </c>
      <c r="M634" s="83" t="s">
        <v>112</v>
      </c>
      <c r="N634" s="85">
        <v>45967</v>
      </c>
      <c r="O634" s="86" t="s">
        <v>10</v>
      </c>
      <c r="P634" s="85" t="s">
        <v>0</v>
      </c>
      <c r="Q634" s="91">
        <v>979505817</v>
      </c>
      <c r="R634" s="87"/>
      <c r="S634" s="30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</row>
    <row r="635" spans="2:37" ht="16.2" x14ac:dyDescent="0.3">
      <c r="B635" s="80">
        <v>627</v>
      </c>
      <c r="C635" s="84" t="s">
        <v>386</v>
      </c>
      <c r="D635" s="82" t="s">
        <v>385</v>
      </c>
      <c r="E635" s="83">
        <v>7775</v>
      </c>
      <c r="F635" s="83" t="s">
        <v>16</v>
      </c>
      <c r="G635" s="83" t="s">
        <v>164</v>
      </c>
      <c r="H635" s="83" t="s">
        <v>14</v>
      </c>
      <c r="I635" s="83" t="s">
        <v>103</v>
      </c>
      <c r="J635" s="83">
        <v>10</v>
      </c>
      <c r="K635" s="84"/>
      <c r="L635" s="83" t="s">
        <v>12</v>
      </c>
      <c r="M635" s="83" t="s">
        <v>112</v>
      </c>
      <c r="N635" s="85">
        <v>45967</v>
      </c>
      <c r="O635" s="86" t="s">
        <v>25</v>
      </c>
      <c r="P635" s="85" t="s">
        <v>20</v>
      </c>
      <c r="Q635" s="91">
        <v>903180516</v>
      </c>
      <c r="R635" s="87"/>
      <c r="S635" s="30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</row>
    <row r="636" spans="2:37" ht="16.2" x14ac:dyDescent="0.3">
      <c r="B636" s="80">
        <v>628</v>
      </c>
      <c r="C636" s="84" t="s">
        <v>386</v>
      </c>
      <c r="D636" s="82" t="s">
        <v>385</v>
      </c>
      <c r="E636" s="83">
        <v>7776</v>
      </c>
      <c r="F636" s="83" t="s">
        <v>16</v>
      </c>
      <c r="G636" s="83" t="s">
        <v>164</v>
      </c>
      <c r="H636" s="83" t="s">
        <v>14</v>
      </c>
      <c r="I636" s="83" t="s">
        <v>281</v>
      </c>
      <c r="J636" s="83">
        <v>70</v>
      </c>
      <c r="K636" s="84"/>
      <c r="L636" s="83" t="s">
        <v>12</v>
      </c>
      <c r="M636" s="83" t="s">
        <v>112</v>
      </c>
      <c r="N636" s="85">
        <v>45967</v>
      </c>
      <c r="O636" s="86" t="s">
        <v>25</v>
      </c>
      <c r="P636" s="85" t="s">
        <v>20</v>
      </c>
      <c r="Q636" s="91">
        <v>903180516</v>
      </c>
      <c r="R636" s="87"/>
      <c r="S636" s="30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</row>
    <row r="637" spans="2:37" ht="16.2" x14ac:dyDescent="0.3">
      <c r="B637" s="80">
        <v>629</v>
      </c>
      <c r="C637" s="84" t="s">
        <v>467</v>
      </c>
      <c r="D637" s="82" t="s">
        <v>466</v>
      </c>
      <c r="E637" s="83">
        <v>7777</v>
      </c>
      <c r="F637" s="83" t="s">
        <v>16</v>
      </c>
      <c r="G637" s="84" t="s">
        <v>133</v>
      </c>
      <c r="H637" s="83" t="s">
        <v>14</v>
      </c>
      <c r="I637" s="83" t="s">
        <v>13</v>
      </c>
      <c r="J637" s="83">
        <v>40</v>
      </c>
      <c r="K637" s="84"/>
      <c r="L637" s="83" t="s">
        <v>12</v>
      </c>
      <c r="M637" s="83" t="s">
        <v>112</v>
      </c>
      <c r="N637" s="85">
        <v>45967</v>
      </c>
      <c r="O637" s="86" t="s">
        <v>25</v>
      </c>
      <c r="P637" s="85" t="s">
        <v>9</v>
      </c>
      <c r="Q637" s="91" t="s">
        <v>465</v>
      </c>
      <c r="R637" s="87"/>
      <c r="S637" s="30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</row>
    <row r="638" spans="2:37" ht="16.2" x14ac:dyDescent="0.3">
      <c r="B638" s="80">
        <v>630</v>
      </c>
      <c r="C638" s="84" t="s">
        <v>652</v>
      </c>
      <c r="D638" s="82" t="s">
        <v>683</v>
      </c>
      <c r="E638" s="83">
        <v>7778</v>
      </c>
      <c r="F638" s="83" t="s">
        <v>16</v>
      </c>
      <c r="G638" s="83" t="s">
        <v>31</v>
      </c>
      <c r="H638" s="83" t="s">
        <v>14</v>
      </c>
      <c r="I638" s="83" t="s">
        <v>13</v>
      </c>
      <c r="J638" s="83">
        <v>45</v>
      </c>
      <c r="K638" s="84"/>
      <c r="L638" s="83" t="s">
        <v>26</v>
      </c>
      <c r="M638" s="83" t="s">
        <v>112</v>
      </c>
      <c r="N638" s="85">
        <v>45967</v>
      </c>
      <c r="O638" s="86" t="s">
        <v>10</v>
      </c>
      <c r="P638" s="85" t="s">
        <v>20</v>
      </c>
      <c r="Q638" s="91">
        <v>978813120</v>
      </c>
      <c r="R638" s="87"/>
      <c r="S638" s="30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</row>
    <row r="639" spans="2:37" ht="16.2" x14ac:dyDescent="0.3">
      <c r="B639" s="80">
        <v>631</v>
      </c>
      <c r="C639" s="84" t="s">
        <v>205</v>
      </c>
      <c r="D639" s="82" t="s">
        <v>204</v>
      </c>
      <c r="E639" s="83">
        <v>7779</v>
      </c>
      <c r="F639" s="83" t="s">
        <v>16</v>
      </c>
      <c r="G639" s="83" t="s">
        <v>77</v>
      </c>
      <c r="H639" s="83" t="s">
        <v>14</v>
      </c>
      <c r="I639" s="83" t="s">
        <v>13</v>
      </c>
      <c r="J639" s="83">
        <v>40</v>
      </c>
      <c r="K639" s="84"/>
      <c r="L639" s="83" t="s">
        <v>26</v>
      </c>
      <c r="M639" s="83" t="s">
        <v>112</v>
      </c>
      <c r="N639" s="85">
        <v>45967</v>
      </c>
      <c r="O639" s="86" t="s">
        <v>10</v>
      </c>
      <c r="P639" s="85" t="s">
        <v>0</v>
      </c>
      <c r="Q639" s="91">
        <v>814533261</v>
      </c>
      <c r="R639" s="87"/>
      <c r="S639" s="30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</row>
    <row r="640" spans="2:37" ht="16.2" x14ac:dyDescent="0.3">
      <c r="B640" s="80">
        <v>632</v>
      </c>
      <c r="C640" s="84" t="s">
        <v>349</v>
      </c>
      <c r="D640" s="82" t="s">
        <v>348</v>
      </c>
      <c r="E640" s="83">
        <v>7780</v>
      </c>
      <c r="F640" s="83" t="s">
        <v>28</v>
      </c>
      <c r="G640" s="83" t="s">
        <v>130</v>
      </c>
      <c r="H640" s="83" t="s">
        <v>14</v>
      </c>
      <c r="I640" s="83" t="s">
        <v>13</v>
      </c>
      <c r="J640" s="83">
        <v>55</v>
      </c>
      <c r="K640" s="84"/>
      <c r="L640" s="83" t="s">
        <v>12</v>
      </c>
      <c r="M640" s="83" t="s">
        <v>112</v>
      </c>
      <c r="N640" s="85">
        <v>45967</v>
      </c>
      <c r="O640" s="86" t="s">
        <v>10</v>
      </c>
      <c r="P640" s="85" t="s">
        <v>20</v>
      </c>
      <c r="Q640" s="91" t="s">
        <v>347</v>
      </c>
      <c r="R640" s="87"/>
      <c r="S640" s="30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</row>
    <row r="641" spans="2:37" ht="16.2" x14ac:dyDescent="0.3">
      <c r="B641" s="80">
        <v>633</v>
      </c>
      <c r="C641" s="84" t="s">
        <v>1093</v>
      </c>
      <c r="D641" s="82" t="s">
        <v>1094</v>
      </c>
      <c r="E641" s="83">
        <v>7781</v>
      </c>
      <c r="F641" s="83" t="s">
        <v>28</v>
      </c>
      <c r="G641" s="83" t="s">
        <v>37</v>
      </c>
      <c r="H641" s="83" t="s">
        <v>14</v>
      </c>
      <c r="I641" s="83" t="s">
        <v>13</v>
      </c>
      <c r="J641" s="83">
        <v>45</v>
      </c>
      <c r="K641" s="84"/>
      <c r="L641" s="83" t="s">
        <v>26</v>
      </c>
      <c r="M641" s="83" t="s">
        <v>112</v>
      </c>
      <c r="N641" s="85">
        <v>45967</v>
      </c>
      <c r="O641" s="86" t="s">
        <v>10</v>
      </c>
      <c r="P641" s="85" t="s">
        <v>20</v>
      </c>
      <c r="Q641" s="91">
        <v>996664057</v>
      </c>
      <c r="R641" s="87"/>
      <c r="S641" s="30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</row>
    <row r="642" spans="2:37" ht="16.2" x14ac:dyDescent="0.3">
      <c r="B642" s="80">
        <v>634</v>
      </c>
      <c r="C642" s="84" t="s">
        <v>464</v>
      </c>
      <c r="D642" s="82" t="s">
        <v>463</v>
      </c>
      <c r="E642" s="83">
        <v>7782</v>
      </c>
      <c r="F642" s="83" t="s">
        <v>28</v>
      </c>
      <c r="G642" s="83" t="s">
        <v>150</v>
      </c>
      <c r="H642" s="83" t="s">
        <v>14</v>
      </c>
      <c r="I642" s="83" t="s">
        <v>13</v>
      </c>
      <c r="J642" s="83">
        <v>45</v>
      </c>
      <c r="K642" s="84"/>
      <c r="L642" s="83" t="s">
        <v>26</v>
      </c>
      <c r="M642" s="83" t="s">
        <v>112</v>
      </c>
      <c r="N642" s="85">
        <v>45967</v>
      </c>
      <c r="O642" s="86" t="s">
        <v>10</v>
      </c>
      <c r="P642" s="85" t="s">
        <v>20</v>
      </c>
      <c r="Q642" s="91" t="s">
        <v>462</v>
      </c>
      <c r="R642" s="87"/>
      <c r="S642" s="30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</row>
    <row r="643" spans="2:37" ht="16.2" x14ac:dyDescent="0.3">
      <c r="B643" s="80">
        <v>635</v>
      </c>
      <c r="C643" s="84" t="s">
        <v>461</v>
      </c>
      <c r="D643" s="82" t="s">
        <v>460</v>
      </c>
      <c r="E643" s="83">
        <v>7783</v>
      </c>
      <c r="F643" s="83" t="s">
        <v>16</v>
      </c>
      <c r="G643" s="83" t="s">
        <v>185</v>
      </c>
      <c r="H643" s="83" t="s">
        <v>14</v>
      </c>
      <c r="I643" s="88" t="s">
        <v>13</v>
      </c>
      <c r="J643" s="83">
        <v>55</v>
      </c>
      <c r="K643" s="84"/>
      <c r="L643" s="83" t="s">
        <v>26</v>
      </c>
      <c r="M643" s="83" t="s">
        <v>112</v>
      </c>
      <c r="N643" s="85">
        <v>45967</v>
      </c>
      <c r="O643" s="86" t="s">
        <v>10</v>
      </c>
      <c r="P643" s="85" t="s">
        <v>20</v>
      </c>
      <c r="Q643" s="91"/>
      <c r="R643" s="87"/>
      <c r="S643" s="30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</row>
    <row r="644" spans="2:37" ht="16.2" x14ac:dyDescent="0.3">
      <c r="B644" s="80">
        <v>636</v>
      </c>
      <c r="C644" s="84" t="s">
        <v>366</v>
      </c>
      <c r="D644" s="82" t="s">
        <v>365</v>
      </c>
      <c r="E644" s="83">
        <v>7784</v>
      </c>
      <c r="F644" s="84" t="s">
        <v>16</v>
      </c>
      <c r="G644" s="84" t="s">
        <v>167</v>
      </c>
      <c r="H644" s="84" t="s">
        <v>14</v>
      </c>
      <c r="I644" s="84" t="s">
        <v>281</v>
      </c>
      <c r="J644" s="84">
        <v>80</v>
      </c>
      <c r="K644" s="84"/>
      <c r="L644" s="84" t="s">
        <v>12</v>
      </c>
      <c r="M644" s="84" t="s">
        <v>112</v>
      </c>
      <c r="N644" s="85">
        <v>45967</v>
      </c>
      <c r="O644" s="86" t="s">
        <v>25</v>
      </c>
      <c r="P644" s="97" t="s">
        <v>20</v>
      </c>
      <c r="Q644" s="91">
        <v>896653628</v>
      </c>
      <c r="R644" s="91"/>
      <c r="S644" s="30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</row>
    <row r="645" spans="2:37" ht="16.2" x14ac:dyDescent="0.3">
      <c r="B645" s="80">
        <v>637</v>
      </c>
      <c r="C645" s="84" t="s">
        <v>364</v>
      </c>
      <c r="D645" s="82" t="s">
        <v>363</v>
      </c>
      <c r="E645" s="83">
        <v>7785</v>
      </c>
      <c r="F645" s="83" t="s">
        <v>16</v>
      </c>
      <c r="G645" s="83" t="s">
        <v>37</v>
      </c>
      <c r="H645" s="83" t="s">
        <v>14</v>
      </c>
      <c r="I645" s="83" t="s">
        <v>13</v>
      </c>
      <c r="J645" s="83">
        <v>45</v>
      </c>
      <c r="K645" s="84"/>
      <c r="L645" s="83" t="s">
        <v>26</v>
      </c>
      <c r="M645" s="83" t="s">
        <v>112</v>
      </c>
      <c r="N645" s="85">
        <v>45967</v>
      </c>
      <c r="O645" s="86" t="s">
        <v>10</v>
      </c>
      <c r="P645" s="85" t="s">
        <v>20</v>
      </c>
      <c r="Q645" s="91">
        <v>896653628</v>
      </c>
      <c r="R645" s="87"/>
      <c r="S645" s="30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</row>
    <row r="646" spans="2:37" ht="16.2" x14ac:dyDescent="0.3">
      <c r="B646" s="80">
        <v>638</v>
      </c>
      <c r="C646" s="84" t="s">
        <v>1095</v>
      </c>
      <c r="D646" s="82" t="s">
        <v>1096</v>
      </c>
      <c r="E646" s="83">
        <v>7786</v>
      </c>
      <c r="F646" s="83" t="s">
        <v>16</v>
      </c>
      <c r="G646" s="83" t="s">
        <v>83</v>
      </c>
      <c r="H646" s="83" t="s">
        <v>14</v>
      </c>
      <c r="I646" s="83" t="s">
        <v>13</v>
      </c>
      <c r="J646" s="83">
        <v>40</v>
      </c>
      <c r="K646" s="84"/>
      <c r="L646" s="83" t="s">
        <v>12</v>
      </c>
      <c r="M646" s="83" t="s">
        <v>112</v>
      </c>
      <c r="N646" s="85">
        <v>45967</v>
      </c>
      <c r="O646" s="86" t="s">
        <v>10</v>
      </c>
      <c r="P646" s="85" t="s">
        <v>9</v>
      </c>
      <c r="Q646" s="91"/>
      <c r="R646" s="87"/>
      <c r="S646" s="30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</row>
    <row r="647" spans="2:37" ht="16.2" x14ac:dyDescent="0.3">
      <c r="B647" s="80">
        <v>639</v>
      </c>
      <c r="C647" s="84" t="s">
        <v>1097</v>
      </c>
      <c r="D647" s="82" t="s">
        <v>1098</v>
      </c>
      <c r="E647" s="83">
        <v>7787</v>
      </c>
      <c r="F647" s="83" t="s">
        <v>28</v>
      </c>
      <c r="G647" s="84" t="s">
        <v>15</v>
      </c>
      <c r="H647" s="83" t="s">
        <v>14</v>
      </c>
      <c r="I647" s="83" t="s">
        <v>13</v>
      </c>
      <c r="J647" s="83">
        <v>40</v>
      </c>
      <c r="K647" s="84"/>
      <c r="L647" s="83" t="s">
        <v>12</v>
      </c>
      <c r="M647" s="83" t="s">
        <v>112</v>
      </c>
      <c r="N647" s="85">
        <v>45967</v>
      </c>
      <c r="O647" s="86" t="s">
        <v>10</v>
      </c>
      <c r="P647" s="85" t="s">
        <v>9</v>
      </c>
      <c r="Q647" s="91"/>
      <c r="R647" s="87"/>
      <c r="S647" s="30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</row>
    <row r="648" spans="2:37" ht="16.2" x14ac:dyDescent="0.3">
      <c r="B648" s="80">
        <v>640</v>
      </c>
      <c r="C648" s="84" t="s">
        <v>1099</v>
      </c>
      <c r="D648" s="82" t="s">
        <v>1100</v>
      </c>
      <c r="E648" s="83">
        <v>7788</v>
      </c>
      <c r="F648" s="83" t="s">
        <v>16</v>
      </c>
      <c r="G648" s="83" t="s">
        <v>50</v>
      </c>
      <c r="H648" s="83" t="s">
        <v>14</v>
      </c>
      <c r="I648" s="83" t="s">
        <v>13</v>
      </c>
      <c r="J648" s="83">
        <v>40</v>
      </c>
      <c r="K648" s="84"/>
      <c r="L648" s="83" t="s">
        <v>12</v>
      </c>
      <c r="M648" s="83" t="s">
        <v>112</v>
      </c>
      <c r="N648" s="85">
        <v>45967</v>
      </c>
      <c r="O648" s="86" t="s">
        <v>10</v>
      </c>
      <c r="P648" s="85" t="s">
        <v>9</v>
      </c>
      <c r="Q648" s="91" t="s">
        <v>1101</v>
      </c>
      <c r="R648" s="87"/>
      <c r="S648" s="30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</row>
    <row r="649" spans="2:37" ht="16.2" x14ac:dyDescent="0.3">
      <c r="B649" s="80">
        <v>641</v>
      </c>
      <c r="C649" s="84" t="s">
        <v>1102</v>
      </c>
      <c r="D649" s="82" t="s">
        <v>1103</v>
      </c>
      <c r="E649" s="83">
        <v>7789</v>
      </c>
      <c r="F649" s="83" t="s">
        <v>16</v>
      </c>
      <c r="G649" s="83" t="s">
        <v>133</v>
      </c>
      <c r="H649" s="83" t="s">
        <v>14</v>
      </c>
      <c r="I649" s="83" t="s">
        <v>281</v>
      </c>
      <c r="J649" s="83">
        <v>38.840000000000003</v>
      </c>
      <c r="K649" s="84"/>
      <c r="L649" s="83" t="s">
        <v>12</v>
      </c>
      <c r="M649" s="83" t="s">
        <v>112</v>
      </c>
      <c r="N649" s="85">
        <v>45967</v>
      </c>
      <c r="O649" s="86" t="s">
        <v>10</v>
      </c>
      <c r="P649" s="85" t="s">
        <v>9</v>
      </c>
      <c r="Q649" s="91"/>
      <c r="R649" s="87"/>
      <c r="S649" s="30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</row>
    <row r="650" spans="2:37" ht="16.2" x14ac:dyDescent="0.3">
      <c r="B650" s="80">
        <v>642</v>
      </c>
      <c r="C650" s="84" t="s">
        <v>372</v>
      </c>
      <c r="D650" s="82" t="s">
        <v>371</v>
      </c>
      <c r="E650" s="83">
        <v>7790</v>
      </c>
      <c r="F650" s="83" t="s">
        <v>28</v>
      </c>
      <c r="G650" s="83" t="s">
        <v>97</v>
      </c>
      <c r="H650" s="83" t="s">
        <v>14</v>
      </c>
      <c r="I650" s="83" t="s">
        <v>13</v>
      </c>
      <c r="J650" s="83">
        <v>100</v>
      </c>
      <c r="K650" s="84"/>
      <c r="L650" s="83" t="s">
        <v>12</v>
      </c>
      <c r="M650" s="83" t="s">
        <v>112</v>
      </c>
      <c r="N650" s="85">
        <v>45967</v>
      </c>
      <c r="O650" s="86" t="s">
        <v>25</v>
      </c>
      <c r="P650" s="85" t="s">
        <v>20</v>
      </c>
      <c r="Q650" s="91">
        <v>990953501</v>
      </c>
      <c r="R650" s="87"/>
      <c r="S650" s="30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</row>
    <row r="651" spans="2:37" ht="16.2" x14ac:dyDescent="0.3">
      <c r="B651" s="80">
        <v>643</v>
      </c>
      <c r="C651" s="84" t="s">
        <v>370</v>
      </c>
      <c r="D651" s="82" t="s">
        <v>369</v>
      </c>
      <c r="E651" s="83">
        <v>7791</v>
      </c>
      <c r="F651" s="83" t="s">
        <v>16</v>
      </c>
      <c r="G651" s="84" t="s">
        <v>185</v>
      </c>
      <c r="H651" s="83" t="s">
        <v>14</v>
      </c>
      <c r="I651" s="83" t="s">
        <v>13</v>
      </c>
      <c r="J651" s="83">
        <v>55</v>
      </c>
      <c r="K651" s="84"/>
      <c r="L651" s="83" t="s">
        <v>12</v>
      </c>
      <c r="M651" s="83" t="s">
        <v>112</v>
      </c>
      <c r="N651" s="85">
        <v>45967</v>
      </c>
      <c r="O651" s="86" t="s">
        <v>25</v>
      </c>
      <c r="P651" s="85" t="s">
        <v>20</v>
      </c>
      <c r="Q651" s="91">
        <v>990953501</v>
      </c>
      <c r="R651" s="87"/>
      <c r="S651" s="30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</row>
    <row r="652" spans="2:37" ht="16.2" x14ac:dyDescent="0.3">
      <c r="B652" s="80">
        <v>644</v>
      </c>
      <c r="C652" s="84" t="s">
        <v>368</v>
      </c>
      <c r="D652" s="82" t="s">
        <v>367</v>
      </c>
      <c r="E652" s="83">
        <v>7792</v>
      </c>
      <c r="F652" s="83" t="s">
        <v>28</v>
      </c>
      <c r="G652" s="83" t="s">
        <v>15</v>
      </c>
      <c r="H652" s="83" t="s">
        <v>14</v>
      </c>
      <c r="I652" s="83" t="s">
        <v>13</v>
      </c>
      <c r="J652" s="83">
        <v>40</v>
      </c>
      <c r="K652" s="84"/>
      <c r="L652" s="83" t="s">
        <v>12</v>
      </c>
      <c r="M652" s="83" t="s">
        <v>112</v>
      </c>
      <c r="N652" s="85">
        <v>45967</v>
      </c>
      <c r="O652" s="86" t="s">
        <v>10</v>
      </c>
      <c r="P652" s="85" t="s">
        <v>9</v>
      </c>
      <c r="Q652" s="91"/>
      <c r="R652" s="87"/>
      <c r="S652" s="30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</row>
    <row r="653" spans="2:37" ht="16.2" x14ac:dyDescent="0.3">
      <c r="B653" s="80">
        <v>645</v>
      </c>
      <c r="C653" s="84" t="s">
        <v>1104</v>
      </c>
      <c r="D653" s="82" t="s">
        <v>1105</v>
      </c>
      <c r="E653" s="83">
        <v>7793</v>
      </c>
      <c r="F653" s="83" t="s">
        <v>28</v>
      </c>
      <c r="G653" s="83" t="s">
        <v>124</v>
      </c>
      <c r="H653" s="83" t="s">
        <v>14</v>
      </c>
      <c r="I653" s="83" t="s">
        <v>13</v>
      </c>
      <c r="J653" s="83">
        <v>55</v>
      </c>
      <c r="K653" s="84"/>
      <c r="L653" s="83" t="s">
        <v>26</v>
      </c>
      <c r="M653" s="83" t="s">
        <v>112</v>
      </c>
      <c r="N653" s="85">
        <v>45967</v>
      </c>
      <c r="O653" s="86" t="s">
        <v>10</v>
      </c>
      <c r="P653" s="85" t="s">
        <v>20</v>
      </c>
      <c r="Q653" s="91"/>
      <c r="R653" s="87"/>
      <c r="S653" s="30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</row>
    <row r="654" spans="2:37" ht="16.2" x14ac:dyDescent="0.3">
      <c r="B654" s="80">
        <v>646</v>
      </c>
      <c r="C654" s="84" t="s">
        <v>864</v>
      </c>
      <c r="D654" s="82" t="s">
        <v>865</v>
      </c>
      <c r="E654" s="83">
        <v>7794</v>
      </c>
      <c r="F654" s="83" t="s">
        <v>16</v>
      </c>
      <c r="G654" s="83" t="s">
        <v>72</v>
      </c>
      <c r="H654" s="83" t="s">
        <v>14</v>
      </c>
      <c r="I654" s="83" t="s">
        <v>13</v>
      </c>
      <c r="J654" s="83">
        <v>55</v>
      </c>
      <c r="K654" s="84"/>
      <c r="L654" s="83" t="s">
        <v>26</v>
      </c>
      <c r="M654" s="83" t="s">
        <v>112</v>
      </c>
      <c r="N654" s="85">
        <v>45967</v>
      </c>
      <c r="O654" s="86" t="s">
        <v>25</v>
      </c>
      <c r="P654" s="85" t="s">
        <v>20</v>
      </c>
      <c r="Q654" s="91">
        <v>997118804</v>
      </c>
      <c r="R654" s="87"/>
      <c r="S654" s="30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</row>
    <row r="655" spans="2:37" ht="16.2" x14ac:dyDescent="0.3">
      <c r="B655" s="80">
        <v>647</v>
      </c>
      <c r="C655" s="84" t="s">
        <v>529</v>
      </c>
      <c r="D655" s="82" t="s">
        <v>528</v>
      </c>
      <c r="E655" s="83">
        <v>7795</v>
      </c>
      <c r="F655" s="83" t="s">
        <v>16</v>
      </c>
      <c r="G655" s="83" t="s">
        <v>237</v>
      </c>
      <c r="H655" s="83" t="s">
        <v>14</v>
      </c>
      <c r="I655" s="83" t="s">
        <v>13</v>
      </c>
      <c r="J655" s="83">
        <v>55</v>
      </c>
      <c r="K655" s="84"/>
      <c r="L655" s="83" t="s">
        <v>26</v>
      </c>
      <c r="M655" s="83" t="s">
        <v>112</v>
      </c>
      <c r="N655" s="85">
        <v>45967</v>
      </c>
      <c r="O655" s="86" t="s">
        <v>10</v>
      </c>
      <c r="P655" s="85" t="s">
        <v>20</v>
      </c>
      <c r="Q655" s="91">
        <v>997118804</v>
      </c>
      <c r="R655" s="87"/>
      <c r="S655" s="30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</row>
    <row r="656" spans="2:37" ht="16.2" x14ac:dyDescent="0.3">
      <c r="B656" s="80">
        <v>648</v>
      </c>
      <c r="C656" s="84" t="s">
        <v>650</v>
      </c>
      <c r="D656" s="82" t="s">
        <v>649</v>
      </c>
      <c r="E656" s="83">
        <v>7796</v>
      </c>
      <c r="F656" s="83" t="s">
        <v>16</v>
      </c>
      <c r="G656" s="83" t="s">
        <v>37</v>
      </c>
      <c r="H656" s="83" t="s">
        <v>14</v>
      </c>
      <c r="I656" s="83" t="s">
        <v>13</v>
      </c>
      <c r="J656" s="83">
        <v>45</v>
      </c>
      <c r="K656" s="84"/>
      <c r="L656" s="83" t="s">
        <v>12</v>
      </c>
      <c r="M656" s="83" t="s">
        <v>112</v>
      </c>
      <c r="N656" s="85">
        <v>45967</v>
      </c>
      <c r="O656" s="86" t="s">
        <v>10</v>
      </c>
      <c r="P656" s="85" t="s">
        <v>20</v>
      </c>
      <c r="Q656" s="91">
        <v>810808089</v>
      </c>
      <c r="R656" s="87"/>
      <c r="S656" s="30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</row>
    <row r="657" spans="2:37" ht="16.2" x14ac:dyDescent="0.3">
      <c r="B657" s="80">
        <v>649</v>
      </c>
      <c r="C657" s="84" t="s">
        <v>648</v>
      </c>
      <c r="D657" s="82" t="s">
        <v>647</v>
      </c>
      <c r="E657" s="83">
        <v>7797</v>
      </c>
      <c r="F657" s="83" t="s">
        <v>16</v>
      </c>
      <c r="G657" s="83" t="s">
        <v>31</v>
      </c>
      <c r="H657" s="83" t="s">
        <v>14</v>
      </c>
      <c r="I657" s="83" t="s">
        <v>13</v>
      </c>
      <c r="J657" s="83">
        <v>45</v>
      </c>
      <c r="K657" s="84"/>
      <c r="L657" s="83" t="s">
        <v>12</v>
      </c>
      <c r="M657" s="83" t="s">
        <v>112</v>
      </c>
      <c r="N657" s="85">
        <v>45967</v>
      </c>
      <c r="O657" s="86" t="s">
        <v>25</v>
      </c>
      <c r="P657" s="85" t="s">
        <v>20</v>
      </c>
      <c r="Q657" s="91">
        <v>810808089</v>
      </c>
      <c r="R657" s="87"/>
      <c r="S657" s="30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</row>
    <row r="658" spans="2:37" ht="16.2" x14ac:dyDescent="0.3">
      <c r="B658" s="80">
        <v>650</v>
      </c>
      <c r="C658" s="84" t="s">
        <v>646</v>
      </c>
      <c r="D658" s="82" t="s">
        <v>645</v>
      </c>
      <c r="E658" s="83">
        <v>7798</v>
      </c>
      <c r="F658" s="83" t="s">
        <v>16</v>
      </c>
      <c r="G658" s="84" t="s">
        <v>27</v>
      </c>
      <c r="H658" s="83" t="s">
        <v>14</v>
      </c>
      <c r="I658" s="83" t="s">
        <v>13</v>
      </c>
      <c r="J658" s="83">
        <v>55</v>
      </c>
      <c r="K658" s="84"/>
      <c r="L658" s="83" t="s">
        <v>12</v>
      </c>
      <c r="M658" s="83" t="s">
        <v>112</v>
      </c>
      <c r="N658" s="85">
        <v>45967</v>
      </c>
      <c r="O658" s="86" t="s">
        <v>25</v>
      </c>
      <c r="P658" s="85" t="s">
        <v>20</v>
      </c>
      <c r="Q658" s="91">
        <v>810808089</v>
      </c>
      <c r="R658" s="87"/>
      <c r="S658" s="30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</row>
    <row r="659" spans="2:37" ht="16.2" x14ac:dyDescent="0.3">
      <c r="B659" s="80">
        <v>651</v>
      </c>
      <c r="C659" s="84" t="s">
        <v>826</v>
      </c>
      <c r="D659" s="82" t="s">
        <v>825</v>
      </c>
      <c r="E659" s="83">
        <v>7799</v>
      </c>
      <c r="F659" s="83" t="s">
        <v>28</v>
      </c>
      <c r="G659" s="83" t="s">
        <v>624</v>
      </c>
      <c r="H659" s="83" t="s">
        <v>14</v>
      </c>
      <c r="I659" s="83" t="s">
        <v>13</v>
      </c>
      <c r="J659" s="83">
        <v>55</v>
      </c>
      <c r="K659" s="84"/>
      <c r="L659" s="83" t="s">
        <v>26</v>
      </c>
      <c r="M659" s="83" t="s">
        <v>112</v>
      </c>
      <c r="N659" s="85">
        <v>45967</v>
      </c>
      <c r="O659" s="86" t="s">
        <v>10</v>
      </c>
      <c r="P659" s="85" t="s">
        <v>20</v>
      </c>
      <c r="Q659" s="91">
        <v>976028888</v>
      </c>
      <c r="R659" s="87"/>
      <c r="S659" s="30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</row>
    <row r="660" spans="2:37" ht="16.2" x14ac:dyDescent="0.3">
      <c r="B660" s="80">
        <v>652</v>
      </c>
      <c r="C660" s="84" t="s">
        <v>427</v>
      </c>
      <c r="D660" s="82" t="s">
        <v>426</v>
      </c>
      <c r="E660" s="83">
        <v>7800</v>
      </c>
      <c r="F660" s="83" t="s">
        <v>28</v>
      </c>
      <c r="G660" s="83" t="s">
        <v>97</v>
      </c>
      <c r="H660" s="83" t="s">
        <v>14</v>
      </c>
      <c r="I660" s="83" t="s">
        <v>13</v>
      </c>
      <c r="J660" s="83">
        <v>100</v>
      </c>
      <c r="K660" s="84"/>
      <c r="L660" s="83" t="s">
        <v>12</v>
      </c>
      <c r="M660" s="83" t="s">
        <v>112</v>
      </c>
      <c r="N660" s="85">
        <v>45967</v>
      </c>
      <c r="O660" s="86" t="s">
        <v>25</v>
      </c>
      <c r="P660" s="85" t="s">
        <v>20</v>
      </c>
      <c r="Q660" s="91"/>
      <c r="R660" s="87"/>
      <c r="S660" s="30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</row>
    <row r="661" spans="2:37" ht="16.2" x14ac:dyDescent="0.3">
      <c r="B661" s="80">
        <v>653</v>
      </c>
      <c r="C661" s="84" t="s">
        <v>74</v>
      </c>
      <c r="D661" s="82" t="s">
        <v>73</v>
      </c>
      <c r="E661" s="83">
        <v>7801</v>
      </c>
      <c r="F661" s="83" t="s">
        <v>16</v>
      </c>
      <c r="G661" s="84" t="s">
        <v>72</v>
      </c>
      <c r="H661" s="83"/>
      <c r="I661" s="83" t="s">
        <v>13</v>
      </c>
      <c r="J661" s="83">
        <v>55</v>
      </c>
      <c r="K661" s="84"/>
      <c r="L661" s="83" t="s">
        <v>26</v>
      </c>
      <c r="M661" s="83" t="s">
        <v>112</v>
      </c>
      <c r="N661" s="85">
        <v>45967</v>
      </c>
      <c r="O661" s="86" t="s">
        <v>25</v>
      </c>
      <c r="P661" s="85" t="s">
        <v>20</v>
      </c>
      <c r="Q661" s="91"/>
      <c r="R661" s="87"/>
      <c r="S661" s="30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</row>
    <row r="662" spans="2:37" ht="16.2" x14ac:dyDescent="0.3">
      <c r="B662" s="80">
        <v>654</v>
      </c>
      <c r="C662" s="84" t="s">
        <v>798</v>
      </c>
      <c r="D662" s="82" t="s">
        <v>797</v>
      </c>
      <c r="E662" s="83">
        <v>7803</v>
      </c>
      <c r="F662" s="83" t="s">
        <v>16</v>
      </c>
      <c r="G662" s="83" t="s">
        <v>113</v>
      </c>
      <c r="H662" s="83" t="s">
        <v>14</v>
      </c>
      <c r="I662" s="83" t="s">
        <v>13</v>
      </c>
      <c r="J662" s="83">
        <v>45</v>
      </c>
      <c r="K662" s="84"/>
      <c r="L662" s="83" t="s">
        <v>12</v>
      </c>
      <c r="M662" s="83" t="s">
        <v>112</v>
      </c>
      <c r="N662" s="85">
        <v>45967</v>
      </c>
      <c r="O662" s="86" t="s">
        <v>10</v>
      </c>
      <c r="P662" s="85" t="s">
        <v>20</v>
      </c>
      <c r="Q662" s="91" t="s">
        <v>796</v>
      </c>
      <c r="R662" s="87"/>
      <c r="S662" s="30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</row>
    <row r="663" spans="2:37" ht="16.2" x14ac:dyDescent="0.3">
      <c r="B663" s="80">
        <v>655</v>
      </c>
      <c r="C663" s="84" t="s">
        <v>1106</v>
      </c>
      <c r="D663" s="82" t="s">
        <v>1107</v>
      </c>
      <c r="E663" s="83">
        <v>7805</v>
      </c>
      <c r="F663" s="83" t="s">
        <v>28</v>
      </c>
      <c r="G663" s="83" t="s">
        <v>68</v>
      </c>
      <c r="H663" s="83" t="s">
        <v>14</v>
      </c>
      <c r="I663" s="83" t="s">
        <v>13</v>
      </c>
      <c r="J663" s="83">
        <v>40.380000000000003</v>
      </c>
      <c r="K663" s="84"/>
      <c r="L663" s="83" t="s">
        <v>26</v>
      </c>
      <c r="M663" s="83" t="s">
        <v>112</v>
      </c>
      <c r="N663" s="85">
        <v>45967</v>
      </c>
      <c r="O663" s="86" t="s">
        <v>25</v>
      </c>
      <c r="P663" s="85" t="s">
        <v>20</v>
      </c>
      <c r="Q663" s="91"/>
      <c r="R663" s="87"/>
      <c r="S663" s="30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</row>
    <row r="664" spans="2:37" ht="16.2" customHeight="1" x14ac:dyDescent="0.3">
      <c r="B664" s="80">
        <v>656</v>
      </c>
      <c r="C664" s="84" t="s">
        <v>1108</v>
      </c>
      <c r="D664" s="82" t="s">
        <v>1109</v>
      </c>
      <c r="E664" s="83">
        <v>7806</v>
      </c>
      <c r="F664" s="83" t="s">
        <v>16</v>
      </c>
      <c r="G664" s="83" t="s">
        <v>133</v>
      </c>
      <c r="H664" s="83" t="s">
        <v>14</v>
      </c>
      <c r="I664" s="83" t="s">
        <v>13</v>
      </c>
      <c r="J664" s="83">
        <v>40</v>
      </c>
      <c r="K664" s="84"/>
      <c r="L664" s="83" t="s">
        <v>26</v>
      </c>
      <c r="M664" s="83" t="s">
        <v>112</v>
      </c>
      <c r="N664" s="85">
        <v>45967</v>
      </c>
      <c r="O664" s="86" t="s">
        <v>10</v>
      </c>
      <c r="P664" s="85" t="s">
        <v>9</v>
      </c>
      <c r="Q664" s="91">
        <v>977415665</v>
      </c>
      <c r="R664" s="87"/>
      <c r="S664" s="30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</row>
    <row r="665" spans="2:37" ht="16.2" customHeight="1" x14ac:dyDescent="0.3">
      <c r="B665" s="80">
        <v>657</v>
      </c>
      <c r="C665" s="84" t="s">
        <v>811</v>
      </c>
      <c r="D665" s="82" t="s">
        <v>810</v>
      </c>
      <c r="E665" s="83">
        <v>7807</v>
      </c>
      <c r="F665" s="83" t="s">
        <v>16</v>
      </c>
      <c r="G665" s="84" t="s">
        <v>375</v>
      </c>
      <c r="H665" s="83" t="s">
        <v>14</v>
      </c>
      <c r="I665" s="83" t="s">
        <v>13</v>
      </c>
      <c r="J665" s="83">
        <v>45</v>
      </c>
      <c r="K665" s="84"/>
      <c r="L665" s="83" t="s">
        <v>26</v>
      </c>
      <c r="M665" s="83" t="s">
        <v>112</v>
      </c>
      <c r="N665" s="85">
        <v>45967</v>
      </c>
      <c r="O665" s="86" t="s">
        <v>10</v>
      </c>
      <c r="P665" s="85" t="s">
        <v>20</v>
      </c>
      <c r="Q665" s="91">
        <v>977415665</v>
      </c>
      <c r="R665" s="87"/>
      <c r="S665" s="30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</row>
    <row r="666" spans="2:37" ht="16.2" customHeight="1" x14ac:dyDescent="0.3">
      <c r="B666" s="80">
        <v>658</v>
      </c>
      <c r="C666" s="84" t="s">
        <v>808</v>
      </c>
      <c r="D666" s="82" t="s">
        <v>807</v>
      </c>
      <c r="E666" s="83">
        <v>7808</v>
      </c>
      <c r="F666" s="83" t="s">
        <v>28</v>
      </c>
      <c r="G666" s="83" t="s">
        <v>37</v>
      </c>
      <c r="H666" s="83" t="s">
        <v>14</v>
      </c>
      <c r="I666" s="83" t="s">
        <v>13</v>
      </c>
      <c r="J666" s="83">
        <v>45</v>
      </c>
      <c r="K666" s="84"/>
      <c r="L666" s="83" t="s">
        <v>26</v>
      </c>
      <c r="M666" s="83" t="s">
        <v>112</v>
      </c>
      <c r="N666" s="85">
        <v>45967</v>
      </c>
      <c r="O666" s="86" t="s">
        <v>10</v>
      </c>
      <c r="P666" s="85" t="s">
        <v>20</v>
      </c>
      <c r="Q666" s="91">
        <v>977415665</v>
      </c>
      <c r="R666" s="87"/>
      <c r="S666" s="30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</row>
    <row r="667" spans="2:37" ht="16.2" x14ac:dyDescent="0.3">
      <c r="B667" s="80">
        <v>659</v>
      </c>
      <c r="C667" s="84" t="s">
        <v>321</v>
      </c>
      <c r="D667" s="82" t="s">
        <v>320</v>
      </c>
      <c r="E667" s="83">
        <v>7809</v>
      </c>
      <c r="F667" s="83" t="s">
        <v>28</v>
      </c>
      <c r="G667" s="83" t="s">
        <v>40</v>
      </c>
      <c r="H667" s="83" t="s">
        <v>14</v>
      </c>
      <c r="I667" s="83" t="s">
        <v>13</v>
      </c>
      <c r="J667" s="83">
        <v>40</v>
      </c>
      <c r="K667" s="84"/>
      <c r="L667" s="83" t="s">
        <v>26</v>
      </c>
      <c r="M667" s="83" t="s">
        <v>112</v>
      </c>
      <c r="N667" s="85">
        <v>45967</v>
      </c>
      <c r="O667" s="86" t="s">
        <v>10</v>
      </c>
      <c r="P667" s="85" t="s">
        <v>0</v>
      </c>
      <c r="Q667" s="91">
        <v>975539375</v>
      </c>
      <c r="R667" s="87" t="s">
        <v>1110</v>
      </c>
      <c r="S667" s="30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</row>
    <row r="668" spans="2:37" ht="16.2" x14ac:dyDescent="0.3">
      <c r="B668" s="80">
        <v>660</v>
      </c>
      <c r="C668" s="84" t="s">
        <v>660</v>
      </c>
      <c r="D668" s="82" t="s">
        <v>659</v>
      </c>
      <c r="E668" s="83">
        <v>7810</v>
      </c>
      <c r="F668" s="83" t="s">
        <v>28</v>
      </c>
      <c r="G668" s="83" t="s">
        <v>72</v>
      </c>
      <c r="H668" s="83" t="s">
        <v>14</v>
      </c>
      <c r="I668" s="83" t="s">
        <v>13</v>
      </c>
      <c r="J668" s="83">
        <v>55</v>
      </c>
      <c r="K668" s="84"/>
      <c r="L668" s="83" t="s">
        <v>12</v>
      </c>
      <c r="M668" s="83" t="s">
        <v>112</v>
      </c>
      <c r="N668" s="85">
        <v>45967</v>
      </c>
      <c r="O668" s="86" t="s">
        <v>25</v>
      </c>
      <c r="P668" s="85" t="s">
        <v>20</v>
      </c>
      <c r="Q668" s="91">
        <v>975121313</v>
      </c>
      <c r="R668" s="87"/>
      <c r="S668" s="30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</row>
    <row r="669" spans="2:37" ht="16.2" x14ac:dyDescent="0.3">
      <c r="B669" s="80">
        <v>661</v>
      </c>
      <c r="C669" s="84" t="s">
        <v>536</v>
      </c>
      <c r="D669" s="82" t="s">
        <v>535</v>
      </c>
      <c r="E669" s="83">
        <v>7813</v>
      </c>
      <c r="F669" s="83" t="s">
        <v>28</v>
      </c>
      <c r="G669" s="83" t="s">
        <v>100</v>
      </c>
      <c r="H669" s="83" t="s">
        <v>14</v>
      </c>
      <c r="I669" s="83" t="s">
        <v>13</v>
      </c>
      <c r="J669" s="83">
        <v>35</v>
      </c>
      <c r="K669" s="84"/>
      <c r="L669" s="83" t="s">
        <v>12</v>
      </c>
      <c r="M669" s="83" t="s">
        <v>112</v>
      </c>
      <c r="N669" s="85">
        <v>45967</v>
      </c>
      <c r="O669" s="86" t="s">
        <v>10</v>
      </c>
      <c r="P669" s="85" t="s">
        <v>20</v>
      </c>
      <c r="Q669" s="91">
        <v>973434777</v>
      </c>
      <c r="R669" s="87"/>
      <c r="S669" s="30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</row>
    <row r="670" spans="2:37" ht="16.2" x14ac:dyDescent="0.3">
      <c r="B670" s="80">
        <v>662</v>
      </c>
      <c r="C670" s="84" t="s">
        <v>540</v>
      </c>
      <c r="D670" s="82" t="s">
        <v>539</v>
      </c>
      <c r="E670" s="83">
        <v>7811</v>
      </c>
      <c r="F670" s="83" t="s">
        <v>16</v>
      </c>
      <c r="G670" s="84" t="s">
        <v>164</v>
      </c>
      <c r="H670" s="83" t="s">
        <v>14</v>
      </c>
      <c r="I670" s="83" t="s">
        <v>13</v>
      </c>
      <c r="J670" s="83">
        <v>50</v>
      </c>
      <c r="K670" s="84"/>
      <c r="L670" s="83" t="s">
        <v>12</v>
      </c>
      <c r="M670" s="83" t="s">
        <v>112</v>
      </c>
      <c r="N670" s="85">
        <v>45967</v>
      </c>
      <c r="O670" s="86" t="s">
        <v>25</v>
      </c>
      <c r="P670" s="85" t="s">
        <v>20</v>
      </c>
      <c r="Q670" s="91">
        <v>973434777</v>
      </c>
      <c r="R670" s="87"/>
      <c r="S670" s="30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</row>
    <row r="671" spans="2:37" ht="16.2" x14ac:dyDescent="0.3">
      <c r="B671" s="80">
        <v>663</v>
      </c>
      <c r="C671" s="84" t="s">
        <v>538</v>
      </c>
      <c r="D671" s="82" t="s">
        <v>537</v>
      </c>
      <c r="E671" s="83">
        <v>7812</v>
      </c>
      <c r="F671" s="83" t="s">
        <v>16</v>
      </c>
      <c r="G671" s="83" t="s">
        <v>140</v>
      </c>
      <c r="H671" s="83" t="s">
        <v>14</v>
      </c>
      <c r="I671" s="83" t="s">
        <v>13</v>
      </c>
      <c r="J671" s="83">
        <v>35</v>
      </c>
      <c r="K671" s="84"/>
      <c r="L671" s="83" t="s">
        <v>12</v>
      </c>
      <c r="M671" s="83" t="s">
        <v>112</v>
      </c>
      <c r="N671" s="85">
        <v>45967</v>
      </c>
      <c r="O671" s="86" t="s">
        <v>25</v>
      </c>
      <c r="P671" s="85" t="s">
        <v>20</v>
      </c>
      <c r="Q671" s="91">
        <v>973434777</v>
      </c>
      <c r="R671" s="87"/>
      <c r="S671" s="30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</row>
    <row r="672" spans="2:37" ht="16.2" x14ac:dyDescent="0.3">
      <c r="B672" s="80">
        <v>664</v>
      </c>
      <c r="C672" s="84" t="s">
        <v>534</v>
      </c>
      <c r="D672" s="82" t="s">
        <v>533</v>
      </c>
      <c r="E672" s="83">
        <v>7814</v>
      </c>
      <c r="F672" s="83" t="s">
        <v>16</v>
      </c>
      <c r="G672" s="83" t="s">
        <v>273</v>
      </c>
      <c r="H672" s="83" t="s">
        <v>14</v>
      </c>
      <c r="I672" s="83" t="s">
        <v>13</v>
      </c>
      <c r="J672" s="83">
        <v>35</v>
      </c>
      <c r="K672" s="84"/>
      <c r="L672" s="83" t="s">
        <v>12</v>
      </c>
      <c r="M672" s="83" t="s">
        <v>112</v>
      </c>
      <c r="N672" s="85">
        <v>45967</v>
      </c>
      <c r="O672" s="86" t="s">
        <v>10</v>
      </c>
      <c r="P672" s="85" t="s">
        <v>20</v>
      </c>
      <c r="Q672" s="91" t="s">
        <v>532</v>
      </c>
      <c r="R672" s="87"/>
      <c r="S672" s="30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</row>
    <row r="673" spans="2:37" ht="16.2" customHeight="1" x14ac:dyDescent="0.3">
      <c r="B673" s="80">
        <v>665</v>
      </c>
      <c r="C673" s="84" t="s">
        <v>527</v>
      </c>
      <c r="D673" s="82" t="s">
        <v>526</v>
      </c>
      <c r="E673" s="83">
        <v>7815</v>
      </c>
      <c r="F673" s="83" t="s">
        <v>16</v>
      </c>
      <c r="G673" s="83" t="s">
        <v>22</v>
      </c>
      <c r="H673" s="83" t="s">
        <v>14</v>
      </c>
      <c r="I673" s="83" t="s">
        <v>13</v>
      </c>
      <c r="J673" s="83">
        <v>35</v>
      </c>
      <c r="K673" s="84"/>
      <c r="L673" s="83" t="s">
        <v>12</v>
      </c>
      <c r="M673" s="83" t="s">
        <v>112</v>
      </c>
      <c r="N673" s="85">
        <v>45967</v>
      </c>
      <c r="O673" s="86" t="s">
        <v>10</v>
      </c>
      <c r="P673" s="85" t="s">
        <v>20</v>
      </c>
      <c r="Q673" s="91">
        <v>850156160</v>
      </c>
      <c r="R673" s="87"/>
      <c r="S673" s="30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</row>
    <row r="674" spans="2:37" ht="16.2" customHeight="1" x14ac:dyDescent="0.3">
      <c r="B674" s="80">
        <v>666</v>
      </c>
      <c r="C674" s="84" t="s">
        <v>531</v>
      </c>
      <c r="D674" s="82" t="s">
        <v>530</v>
      </c>
      <c r="E674" s="83">
        <v>7816</v>
      </c>
      <c r="F674" s="83" t="s">
        <v>16</v>
      </c>
      <c r="G674" s="84" t="s">
        <v>83</v>
      </c>
      <c r="H674" s="83" t="s">
        <v>14</v>
      </c>
      <c r="I674" s="83" t="s">
        <v>13</v>
      </c>
      <c r="J674" s="83">
        <v>35</v>
      </c>
      <c r="K674" s="84"/>
      <c r="L674" s="83" t="s">
        <v>12</v>
      </c>
      <c r="M674" s="83" t="s">
        <v>112</v>
      </c>
      <c r="N674" s="85">
        <v>45967</v>
      </c>
      <c r="O674" s="86" t="s">
        <v>10</v>
      </c>
      <c r="P674" s="85" t="s">
        <v>9</v>
      </c>
      <c r="Q674" s="91">
        <v>897932777</v>
      </c>
      <c r="R674" s="87"/>
      <c r="S674" s="30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</row>
    <row r="675" spans="2:37" ht="16.2" customHeight="1" x14ac:dyDescent="0.3">
      <c r="B675" s="80">
        <v>667</v>
      </c>
      <c r="C675" s="84" t="s">
        <v>117</v>
      </c>
      <c r="D675" s="82" t="s">
        <v>116</v>
      </c>
      <c r="E675" s="83">
        <v>7817</v>
      </c>
      <c r="F675" s="83" t="s">
        <v>16</v>
      </c>
      <c r="G675" s="83" t="s">
        <v>37</v>
      </c>
      <c r="H675" s="83" t="s">
        <v>14</v>
      </c>
      <c r="I675" s="83" t="s">
        <v>13</v>
      </c>
      <c r="J675" s="83">
        <v>40</v>
      </c>
      <c r="K675" s="84"/>
      <c r="L675" s="83" t="s">
        <v>12</v>
      </c>
      <c r="M675" s="83" t="s">
        <v>112</v>
      </c>
      <c r="N675" s="85">
        <v>45967</v>
      </c>
      <c r="O675" s="86" t="s">
        <v>10</v>
      </c>
      <c r="P675" s="85" t="s">
        <v>20</v>
      </c>
      <c r="Q675" s="91">
        <v>990251755</v>
      </c>
      <c r="R675" s="87"/>
      <c r="S675" s="30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</row>
    <row r="676" spans="2:37" ht="16.2" x14ac:dyDescent="0.3">
      <c r="B676" s="80">
        <v>668</v>
      </c>
      <c r="C676" s="84" t="s">
        <v>714</v>
      </c>
      <c r="D676" s="82" t="s">
        <v>713</v>
      </c>
      <c r="E676" s="83">
        <v>7818</v>
      </c>
      <c r="F676" s="83" t="s">
        <v>28</v>
      </c>
      <c r="G676" s="83" t="s">
        <v>140</v>
      </c>
      <c r="H676" s="83" t="s">
        <v>14</v>
      </c>
      <c r="I676" s="83" t="s">
        <v>13</v>
      </c>
      <c r="J676" s="83">
        <v>55</v>
      </c>
      <c r="K676" s="84"/>
      <c r="L676" s="83" t="s">
        <v>12</v>
      </c>
      <c r="M676" s="83" t="s">
        <v>112</v>
      </c>
      <c r="N676" s="85">
        <v>45967</v>
      </c>
      <c r="O676" s="86" t="s">
        <v>25</v>
      </c>
      <c r="P676" s="85" t="s">
        <v>20</v>
      </c>
      <c r="Q676" s="91">
        <v>978012692</v>
      </c>
      <c r="R676" s="87"/>
      <c r="S676" s="30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</row>
    <row r="677" spans="2:37" ht="16.2" x14ac:dyDescent="0.3">
      <c r="B677" s="80">
        <v>669</v>
      </c>
      <c r="C677" s="84" t="s">
        <v>638</v>
      </c>
      <c r="D677" s="82" t="s">
        <v>637</v>
      </c>
      <c r="E677" s="83">
        <v>7819</v>
      </c>
      <c r="F677" s="83" t="s">
        <v>16</v>
      </c>
      <c r="G677" s="83" t="s">
        <v>185</v>
      </c>
      <c r="H677" s="83" t="s">
        <v>14</v>
      </c>
      <c r="I677" s="83" t="s">
        <v>281</v>
      </c>
      <c r="J677" s="83">
        <v>30</v>
      </c>
      <c r="K677" s="84"/>
      <c r="L677" s="83" t="s">
        <v>26</v>
      </c>
      <c r="M677" s="83" t="s">
        <v>112</v>
      </c>
      <c r="N677" s="85">
        <v>45967</v>
      </c>
      <c r="O677" s="86" t="s">
        <v>10</v>
      </c>
      <c r="P677" s="85" t="s">
        <v>20</v>
      </c>
      <c r="Q677" s="91">
        <v>977352240</v>
      </c>
      <c r="R677" s="87"/>
      <c r="S677" s="30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</row>
    <row r="678" spans="2:37" ht="16.2" x14ac:dyDescent="0.3">
      <c r="B678" s="80">
        <v>670</v>
      </c>
      <c r="C678" s="84" t="s">
        <v>336</v>
      </c>
      <c r="D678" s="82" t="s">
        <v>335</v>
      </c>
      <c r="E678" s="83">
        <v>7820</v>
      </c>
      <c r="F678" s="83" t="s">
        <v>16</v>
      </c>
      <c r="G678" s="83" t="s">
        <v>37</v>
      </c>
      <c r="H678" s="83" t="s">
        <v>14</v>
      </c>
      <c r="I678" s="83" t="s">
        <v>103</v>
      </c>
      <c r="J678" s="83">
        <v>5</v>
      </c>
      <c r="K678" s="84"/>
      <c r="L678" s="83" t="s">
        <v>12</v>
      </c>
      <c r="M678" s="83" t="s">
        <v>112</v>
      </c>
      <c r="N678" s="85">
        <v>45967</v>
      </c>
      <c r="O678" s="86" t="s">
        <v>10</v>
      </c>
      <c r="P678" s="85" t="s">
        <v>20</v>
      </c>
      <c r="Q678" s="91">
        <v>991818650</v>
      </c>
      <c r="R678" s="87"/>
      <c r="S678" s="30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</row>
    <row r="679" spans="2:37" ht="16.2" x14ac:dyDescent="0.3">
      <c r="B679" s="80">
        <v>671</v>
      </c>
      <c r="C679" s="84" t="s">
        <v>224</v>
      </c>
      <c r="D679" s="82" t="s">
        <v>223</v>
      </c>
      <c r="E679" s="83">
        <v>7821</v>
      </c>
      <c r="F679" s="83" t="s">
        <v>16</v>
      </c>
      <c r="G679" s="83" t="s">
        <v>174</v>
      </c>
      <c r="H679" s="83" t="s">
        <v>14</v>
      </c>
      <c r="I679" s="83" t="s">
        <v>13</v>
      </c>
      <c r="J679" s="83">
        <v>50</v>
      </c>
      <c r="K679" s="84"/>
      <c r="L679" s="83" t="s">
        <v>12</v>
      </c>
      <c r="M679" s="83" t="s">
        <v>112</v>
      </c>
      <c r="N679" s="85">
        <v>45967</v>
      </c>
      <c r="O679" s="86" t="s">
        <v>25</v>
      </c>
      <c r="P679" s="85" t="s">
        <v>20</v>
      </c>
      <c r="Q679" s="91">
        <v>997016421</v>
      </c>
      <c r="R679" s="87"/>
      <c r="S679" s="30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</row>
    <row r="680" spans="2:37" ht="16.2" x14ac:dyDescent="0.3">
      <c r="B680" s="80">
        <v>672</v>
      </c>
      <c r="C680" s="84" t="s">
        <v>278</v>
      </c>
      <c r="D680" s="82" t="s">
        <v>277</v>
      </c>
      <c r="E680" s="83">
        <v>7822</v>
      </c>
      <c r="F680" s="83" t="s">
        <v>28</v>
      </c>
      <c r="G680" s="83" t="s">
        <v>80</v>
      </c>
      <c r="H680" s="83" t="s">
        <v>14</v>
      </c>
      <c r="I680" s="83" t="s">
        <v>13</v>
      </c>
      <c r="J680" s="83">
        <v>40</v>
      </c>
      <c r="K680" s="84"/>
      <c r="L680" s="83" t="s">
        <v>26</v>
      </c>
      <c r="M680" s="83" t="s">
        <v>112</v>
      </c>
      <c r="N680" s="85">
        <v>45967</v>
      </c>
      <c r="O680" s="86" t="s">
        <v>10</v>
      </c>
      <c r="P680" s="85" t="s">
        <v>9</v>
      </c>
      <c r="Q680" s="91" t="s">
        <v>276</v>
      </c>
      <c r="R680" s="87"/>
      <c r="S680" s="30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</row>
    <row r="681" spans="2:37" ht="16.2" x14ac:dyDescent="0.3">
      <c r="B681" s="80">
        <v>673</v>
      </c>
      <c r="C681" s="84" t="s">
        <v>690</v>
      </c>
      <c r="D681" s="82" t="s">
        <v>689</v>
      </c>
      <c r="E681" s="83">
        <v>7823</v>
      </c>
      <c r="F681" s="83" t="s">
        <v>28</v>
      </c>
      <c r="G681" s="84" t="s">
        <v>53</v>
      </c>
      <c r="H681" s="83" t="s">
        <v>14</v>
      </c>
      <c r="I681" s="83" t="s">
        <v>13</v>
      </c>
      <c r="J681" s="83">
        <v>45</v>
      </c>
      <c r="K681" s="84"/>
      <c r="L681" s="83" t="s">
        <v>26</v>
      </c>
      <c r="M681" s="83" t="s">
        <v>112</v>
      </c>
      <c r="N681" s="85">
        <v>45967</v>
      </c>
      <c r="O681" s="86" t="s">
        <v>10</v>
      </c>
      <c r="P681" s="85" t="s">
        <v>20</v>
      </c>
      <c r="Q681" s="91">
        <v>982121790</v>
      </c>
      <c r="R681" s="87"/>
      <c r="S681" s="30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</row>
    <row r="682" spans="2:37" ht="16.2" x14ac:dyDescent="0.3">
      <c r="B682" s="80">
        <v>674</v>
      </c>
      <c r="C682" s="84" t="s">
        <v>67</v>
      </c>
      <c r="D682" s="82" t="s">
        <v>66</v>
      </c>
      <c r="E682" s="83">
        <v>7824</v>
      </c>
      <c r="F682" s="83" t="s">
        <v>28</v>
      </c>
      <c r="G682" s="83" t="s">
        <v>65</v>
      </c>
      <c r="H682" s="83" t="s">
        <v>14</v>
      </c>
      <c r="I682" s="83" t="s">
        <v>13</v>
      </c>
      <c r="J682" s="83">
        <v>45</v>
      </c>
      <c r="K682" s="84"/>
      <c r="L682" s="83" t="s">
        <v>26</v>
      </c>
      <c r="M682" s="83" t="s">
        <v>112</v>
      </c>
      <c r="N682" s="85">
        <v>45967</v>
      </c>
      <c r="O682" s="86" t="s">
        <v>25</v>
      </c>
      <c r="P682" s="85" t="s">
        <v>20</v>
      </c>
      <c r="Q682" s="91">
        <v>896096773</v>
      </c>
      <c r="R682" s="87"/>
      <c r="S682" s="30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</row>
    <row r="683" spans="2:37" ht="16.2" x14ac:dyDescent="0.3">
      <c r="B683" s="80">
        <v>675</v>
      </c>
      <c r="C683" s="81" t="s">
        <v>868</v>
      </c>
      <c r="D683" s="82" t="s">
        <v>869</v>
      </c>
      <c r="E683" s="83">
        <v>7825</v>
      </c>
      <c r="F683" s="83" t="s">
        <v>28</v>
      </c>
      <c r="G683" s="83" t="s">
        <v>31</v>
      </c>
      <c r="H683" s="83" t="s">
        <v>14</v>
      </c>
      <c r="I683" s="83" t="s">
        <v>1059</v>
      </c>
      <c r="J683" s="83">
        <v>20.76</v>
      </c>
      <c r="K683" s="84"/>
      <c r="L683" s="83" t="s">
        <v>26</v>
      </c>
      <c r="M683" s="83" t="s">
        <v>112</v>
      </c>
      <c r="N683" s="85">
        <v>45967</v>
      </c>
      <c r="O683" s="86" t="s">
        <v>25</v>
      </c>
      <c r="P683" s="85" t="s">
        <v>20</v>
      </c>
      <c r="Q683" s="91">
        <v>992816033</v>
      </c>
      <c r="R683" s="87"/>
      <c r="S683" s="30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</row>
    <row r="684" spans="2:37" ht="16.2" x14ac:dyDescent="0.3">
      <c r="B684" s="80">
        <v>676</v>
      </c>
      <c r="C684" s="84" t="s">
        <v>408</v>
      </c>
      <c r="D684" s="82" t="s">
        <v>407</v>
      </c>
      <c r="E684" s="83">
        <v>7851</v>
      </c>
      <c r="F684" s="83" t="s">
        <v>28</v>
      </c>
      <c r="G684" s="83" t="s">
        <v>15</v>
      </c>
      <c r="H684" s="83" t="s">
        <v>14</v>
      </c>
      <c r="I684" s="83" t="s">
        <v>13</v>
      </c>
      <c r="J684" s="83">
        <v>35</v>
      </c>
      <c r="K684" s="84"/>
      <c r="L684" s="83" t="s">
        <v>26</v>
      </c>
      <c r="M684" s="83" t="s">
        <v>88</v>
      </c>
      <c r="N684" s="85">
        <v>45968</v>
      </c>
      <c r="O684" s="86" t="s">
        <v>10</v>
      </c>
      <c r="P684" s="85" t="s">
        <v>9</v>
      </c>
      <c r="Q684" s="91" t="s">
        <v>45</v>
      </c>
      <c r="R684" s="87"/>
      <c r="S684" s="30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</row>
    <row r="685" spans="2:37" ht="16.2" x14ac:dyDescent="0.3">
      <c r="B685" s="80">
        <v>677</v>
      </c>
      <c r="C685" s="84" t="s">
        <v>406</v>
      </c>
      <c r="D685" s="82" t="s">
        <v>405</v>
      </c>
      <c r="E685" s="83">
        <v>7852</v>
      </c>
      <c r="F685" s="83" t="s">
        <v>28</v>
      </c>
      <c r="G685" s="83" t="s">
        <v>50</v>
      </c>
      <c r="H685" s="83" t="s">
        <v>14</v>
      </c>
      <c r="I685" s="83" t="s">
        <v>13</v>
      </c>
      <c r="J685" s="83">
        <v>35</v>
      </c>
      <c r="K685" s="84"/>
      <c r="L685" s="83" t="s">
        <v>26</v>
      </c>
      <c r="M685" s="83" t="s">
        <v>88</v>
      </c>
      <c r="N685" s="85">
        <v>45968</v>
      </c>
      <c r="O685" s="86" t="s">
        <v>10</v>
      </c>
      <c r="P685" s="85" t="s">
        <v>9</v>
      </c>
      <c r="Q685" s="91">
        <v>974713130</v>
      </c>
      <c r="R685" s="87"/>
      <c r="S685" s="30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</row>
    <row r="686" spans="2:37" ht="16.2" x14ac:dyDescent="0.3">
      <c r="B686" s="80">
        <v>678</v>
      </c>
      <c r="C686" s="84" t="s">
        <v>404</v>
      </c>
      <c r="D686" s="82" t="s">
        <v>403</v>
      </c>
      <c r="E686" s="83">
        <v>7853</v>
      </c>
      <c r="F686" s="83" t="s">
        <v>16</v>
      </c>
      <c r="G686" s="84" t="s">
        <v>201</v>
      </c>
      <c r="H686" s="83" t="s">
        <v>14</v>
      </c>
      <c r="I686" s="83" t="s">
        <v>13</v>
      </c>
      <c r="J686" s="83">
        <v>35</v>
      </c>
      <c r="K686" s="84"/>
      <c r="L686" s="83" t="s">
        <v>26</v>
      </c>
      <c r="M686" s="83" t="s">
        <v>88</v>
      </c>
      <c r="N686" s="85">
        <v>45968</v>
      </c>
      <c r="O686" s="86" t="s">
        <v>10</v>
      </c>
      <c r="P686" s="85" t="s">
        <v>9</v>
      </c>
      <c r="Q686" s="91">
        <v>974713130</v>
      </c>
      <c r="R686" s="87"/>
      <c r="S686" s="30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</row>
    <row r="687" spans="2:37" ht="16.2" x14ac:dyDescent="0.3">
      <c r="B687" s="80">
        <v>679</v>
      </c>
      <c r="C687" s="84" t="s">
        <v>48</v>
      </c>
      <c r="D687" s="82" t="s">
        <v>47</v>
      </c>
      <c r="E687" s="83">
        <v>7854</v>
      </c>
      <c r="F687" s="83" t="s">
        <v>28</v>
      </c>
      <c r="G687" s="83" t="s">
        <v>46</v>
      </c>
      <c r="H687" s="83" t="s">
        <v>14</v>
      </c>
      <c r="I687" s="83" t="s">
        <v>13</v>
      </c>
      <c r="J687" s="83">
        <v>35</v>
      </c>
      <c r="K687" s="84"/>
      <c r="L687" s="83" t="s">
        <v>26</v>
      </c>
      <c r="M687" s="83" t="s">
        <v>88</v>
      </c>
      <c r="N687" s="85">
        <v>45968</v>
      </c>
      <c r="O687" s="86" t="s">
        <v>10</v>
      </c>
      <c r="P687" s="85" t="s">
        <v>0</v>
      </c>
      <c r="Q687" s="91" t="s">
        <v>45</v>
      </c>
      <c r="R687" s="87"/>
      <c r="S687" s="30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</row>
    <row r="688" spans="2:37" ht="16.2" x14ac:dyDescent="0.3">
      <c r="B688" s="80">
        <v>680</v>
      </c>
      <c r="C688" s="84" t="s">
        <v>280</v>
      </c>
      <c r="D688" s="82" t="s">
        <v>279</v>
      </c>
      <c r="E688" s="83">
        <v>7855</v>
      </c>
      <c r="F688" s="83" t="s">
        <v>28</v>
      </c>
      <c r="G688" s="83" t="s">
        <v>37</v>
      </c>
      <c r="H688" s="83" t="s">
        <v>14</v>
      </c>
      <c r="I688" s="83" t="s">
        <v>21</v>
      </c>
      <c r="J688" s="83">
        <v>45</v>
      </c>
      <c r="K688" s="84"/>
      <c r="L688" s="83" t="s">
        <v>26</v>
      </c>
      <c r="M688" s="83" t="s">
        <v>88</v>
      </c>
      <c r="N688" s="85">
        <v>45968</v>
      </c>
      <c r="O688" s="86" t="s">
        <v>10</v>
      </c>
      <c r="P688" s="85" t="s">
        <v>20</v>
      </c>
      <c r="Q688" s="91">
        <v>997663006</v>
      </c>
      <c r="R688" s="87"/>
      <c r="S688" s="30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</row>
    <row r="689" spans="2:37" ht="16.2" x14ac:dyDescent="0.3">
      <c r="B689" s="80">
        <v>681</v>
      </c>
      <c r="C689" s="84" t="s">
        <v>272</v>
      </c>
      <c r="D689" s="82" t="s">
        <v>271</v>
      </c>
      <c r="E689" s="83">
        <v>7856</v>
      </c>
      <c r="F689" s="83" t="s">
        <v>16</v>
      </c>
      <c r="G689" s="83" t="s">
        <v>100</v>
      </c>
      <c r="H689" s="83" t="s">
        <v>14</v>
      </c>
      <c r="I689" s="83" t="s">
        <v>21</v>
      </c>
      <c r="J689" s="83">
        <v>55</v>
      </c>
      <c r="K689" s="84"/>
      <c r="L689" s="83" t="s">
        <v>26</v>
      </c>
      <c r="M689" s="83" t="s">
        <v>88</v>
      </c>
      <c r="N689" s="85">
        <v>45968</v>
      </c>
      <c r="O689" s="86" t="s">
        <v>10</v>
      </c>
      <c r="P689" s="85" t="s">
        <v>20</v>
      </c>
      <c r="Q689" s="91">
        <v>997663006</v>
      </c>
      <c r="R689" s="87"/>
      <c r="S689" s="30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</row>
    <row r="690" spans="2:37" ht="16.2" x14ac:dyDescent="0.3">
      <c r="B690" s="80">
        <v>682</v>
      </c>
      <c r="C690" s="84" t="s">
        <v>218</v>
      </c>
      <c r="D690" s="82" t="s">
        <v>217</v>
      </c>
      <c r="E690" s="83">
        <v>7857</v>
      </c>
      <c r="F690" s="83" t="s">
        <v>28</v>
      </c>
      <c r="G690" s="84" t="s">
        <v>113</v>
      </c>
      <c r="H690" s="83" t="s">
        <v>14</v>
      </c>
      <c r="I690" s="83" t="s">
        <v>21</v>
      </c>
      <c r="J690" s="83">
        <v>45</v>
      </c>
      <c r="K690" s="84"/>
      <c r="L690" s="83" t="s">
        <v>26</v>
      </c>
      <c r="M690" s="83" t="s">
        <v>88</v>
      </c>
      <c r="N690" s="85">
        <v>45968</v>
      </c>
      <c r="O690" s="86" t="s">
        <v>10</v>
      </c>
      <c r="P690" s="85" t="s">
        <v>20</v>
      </c>
      <c r="Q690" s="91">
        <v>997663006</v>
      </c>
      <c r="R690" s="87"/>
      <c r="S690" s="30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</row>
    <row r="691" spans="2:37" ht="16.2" x14ac:dyDescent="0.3">
      <c r="B691" s="80">
        <v>683</v>
      </c>
      <c r="C691" s="84" t="s">
        <v>879</v>
      </c>
      <c r="D691" s="82" t="s">
        <v>880</v>
      </c>
      <c r="E691" s="83">
        <v>7858</v>
      </c>
      <c r="F691" s="83" t="s">
        <v>28</v>
      </c>
      <c r="G691" s="83" t="s">
        <v>83</v>
      </c>
      <c r="H691" s="83" t="s">
        <v>14</v>
      </c>
      <c r="I691" s="83" t="s">
        <v>21</v>
      </c>
      <c r="J691" s="83">
        <v>40</v>
      </c>
      <c r="K691" s="84"/>
      <c r="L691" s="83" t="s">
        <v>26</v>
      </c>
      <c r="M691" s="83" t="s">
        <v>88</v>
      </c>
      <c r="N691" s="85">
        <v>45968</v>
      </c>
      <c r="O691" s="86" t="s">
        <v>10</v>
      </c>
      <c r="P691" s="85" t="s">
        <v>9</v>
      </c>
      <c r="Q691" s="91">
        <v>997663006</v>
      </c>
      <c r="R691" s="87"/>
      <c r="S691" s="30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</row>
    <row r="692" spans="2:37" ht="16.2" x14ac:dyDescent="0.3">
      <c r="B692" s="80">
        <v>684</v>
      </c>
      <c r="C692" s="84" t="s">
        <v>877</v>
      </c>
      <c r="D692" s="82" t="s">
        <v>878</v>
      </c>
      <c r="E692" s="83">
        <v>7860</v>
      </c>
      <c r="F692" s="83" t="s">
        <v>16</v>
      </c>
      <c r="G692" s="83" t="s">
        <v>15</v>
      </c>
      <c r="H692" s="83" t="s">
        <v>14</v>
      </c>
      <c r="I692" s="83" t="s">
        <v>785</v>
      </c>
      <c r="J692" s="83">
        <v>35</v>
      </c>
      <c r="K692" s="84"/>
      <c r="L692" s="83" t="s">
        <v>26</v>
      </c>
      <c r="M692" s="83" t="s">
        <v>88</v>
      </c>
      <c r="N692" s="85">
        <v>45968</v>
      </c>
      <c r="O692" s="86" t="s">
        <v>10</v>
      </c>
      <c r="P692" s="85" t="s">
        <v>9</v>
      </c>
      <c r="Q692" s="91">
        <v>997663006</v>
      </c>
      <c r="R692" s="87"/>
      <c r="S692" s="30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</row>
    <row r="693" spans="2:37" ht="16.2" x14ac:dyDescent="0.3">
      <c r="B693" s="80">
        <v>685</v>
      </c>
      <c r="C693" s="84" t="s">
        <v>1111</v>
      </c>
      <c r="D693" s="82" t="s">
        <v>1112</v>
      </c>
      <c r="E693" s="83">
        <v>7861</v>
      </c>
      <c r="F693" s="83" t="s">
        <v>1113</v>
      </c>
      <c r="G693" s="83" t="s">
        <v>57</v>
      </c>
      <c r="H693" s="83" t="s">
        <v>1114</v>
      </c>
      <c r="I693" s="83" t="s">
        <v>13</v>
      </c>
      <c r="J693" s="83">
        <v>40</v>
      </c>
      <c r="K693" s="84"/>
      <c r="L693" s="83" t="s">
        <v>12</v>
      </c>
      <c r="M693" s="83" t="s">
        <v>88</v>
      </c>
      <c r="N693" s="85">
        <v>45968</v>
      </c>
      <c r="O693" s="86" t="s">
        <v>25</v>
      </c>
      <c r="P693" s="85" t="s">
        <v>20</v>
      </c>
      <c r="Q693" s="91"/>
      <c r="R693" s="87"/>
      <c r="S693" s="30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</row>
    <row r="694" spans="2:37" ht="16.2" x14ac:dyDescent="0.3">
      <c r="B694" s="80">
        <v>686</v>
      </c>
      <c r="C694" s="84" t="s">
        <v>751</v>
      </c>
      <c r="D694" s="82" t="s">
        <v>750</v>
      </c>
      <c r="E694" s="83">
        <v>7862</v>
      </c>
      <c r="F694" s="83" t="s">
        <v>16</v>
      </c>
      <c r="G694" s="83" t="s">
        <v>164</v>
      </c>
      <c r="H694" s="83" t="s">
        <v>14</v>
      </c>
      <c r="I694" s="83" t="s">
        <v>281</v>
      </c>
      <c r="J694" s="83">
        <v>50</v>
      </c>
      <c r="K694" s="84"/>
      <c r="L694" s="83" t="s">
        <v>12</v>
      </c>
      <c r="M694" s="83" t="s">
        <v>88</v>
      </c>
      <c r="N694" s="85">
        <v>45968</v>
      </c>
      <c r="O694" s="86" t="s">
        <v>25</v>
      </c>
      <c r="P694" s="85" t="s">
        <v>20</v>
      </c>
      <c r="Q694" s="91">
        <v>993693635</v>
      </c>
      <c r="R694" s="87"/>
      <c r="S694" s="30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</row>
    <row r="695" spans="2:37" ht="16.2" x14ac:dyDescent="0.3">
      <c r="B695" s="80">
        <v>687</v>
      </c>
      <c r="C695" s="84" t="s">
        <v>862</v>
      </c>
      <c r="D695" s="82" t="s">
        <v>863</v>
      </c>
      <c r="E695" s="83">
        <v>7863</v>
      </c>
      <c r="F695" s="83" t="s">
        <v>16</v>
      </c>
      <c r="G695" s="83" t="s">
        <v>124</v>
      </c>
      <c r="H695" s="83" t="s">
        <v>14</v>
      </c>
      <c r="I695" s="83" t="s">
        <v>281</v>
      </c>
      <c r="J695" s="83">
        <v>50</v>
      </c>
      <c r="K695" s="84"/>
      <c r="L695" s="83" t="s">
        <v>26</v>
      </c>
      <c r="M695" s="83" t="s">
        <v>88</v>
      </c>
      <c r="N695" s="85">
        <v>45968</v>
      </c>
      <c r="O695" s="86" t="s">
        <v>25</v>
      </c>
      <c r="P695" s="85" t="s">
        <v>20</v>
      </c>
      <c r="Q695" s="91">
        <v>817302077</v>
      </c>
      <c r="R695" s="87"/>
      <c r="S695" s="30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</row>
    <row r="696" spans="2:37" ht="16.2" x14ac:dyDescent="0.3">
      <c r="B696" s="80">
        <v>688</v>
      </c>
      <c r="C696" s="84" t="s">
        <v>561</v>
      </c>
      <c r="D696" s="82" t="s">
        <v>560</v>
      </c>
      <c r="E696" s="83">
        <v>7864</v>
      </c>
      <c r="F696" s="83" t="s">
        <v>16</v>
      </c>
      <c r="G696" s="83" t="s">
        <v>100</v>
      </c>
      <c r="H696" s="83" t="s">
        <v>14</v>
      </c>
      <c r="I696" s="83" t="s">
        <v>1059</v>
      </c>
      <c r="J696" s="83">
        <v>10</v>
      </c>
      <c r="K696" s="84"/>
      <c r="L696" s="83" t="s">
        <v>12</v>
      </c>
      <c r="M696" s="83" t="s">
        <v>88</v>
      </c>
      <c r="N696" s="85">
        <v>45968</v>
      </c>
      <c r="O696" s="86" t="s">
        <v>10</v>
      </c>
      <c r="P696" s="85" t="s">
        <v>20</v>
      </c>
      <c r="Q696" s="91">
        <v>999863003</v>
      </c>
      <c r="R696" s="87"/>
      <c r="S696" s="30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</row>
    <row r="697" spans="2:37" ht="16.2" x14ac:dyDescent="0.3">
      <c r="B697" s="80">
        <v>689</v>
      </c>
      <c r="C697" s="84" t="s">
        <v>1115</v>
      </c>
      <c r="D697" s="82" t="s">
        <v>1116</v>
      </c>
      <c r="E697" s="83">
        <v>7865</v>
      </c>
      <c r="F697" s="83" t="s">
        <v>28</v>
      </c>
      <c r="G697" s="84" t="s">
        <v>22</v>
      </c>
      <c r="H697" s="83" t="s">
        <v>14</v>
      </c>
      <c r="I697" s="83" t="s">
        <v>13</v>
      </c>
      <c r="J697" s="83">
        <v>45</v>
      </c>
      <c r="K697" s="84"/>
      <c r="L697" s="83" t="s">
        <v>12</v>
      </c>
      <c r="M697" s="83" t="s">
        <v>88</v>
      </c>
      <c r="N697" s="85">
        <v>45968</v>
      </c>
      <c r="O697" s="86" t="s">
        <v>10</v>
      </c>
      <c r="P697" s="85" t="s">
        <v>20</v>
      </c>
      <c r="Q697" s="91"/>
      <c r="R697" s="87"/>
      <c r="S697" s="30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</row>
    <row r="698" spans="2:37" ht="16.2" x14ac:dyDescent="0.3">
      <c r="B698" s="80">
        <v>690</v>
      </c>
      <c r="C698" s="84" t="s">
        <v>1117</v>
      </c>
      <c r="D698" s="82" t="s">
        <v>1118</v>
      </c>
      <c r="E698" s="83">
        <v>7866</v>
      </c>
      <c r="F698" s="83" t="s">
        <v>16</v>
      </c>
      <c r="G698" s="83" t="s">
        <v>1053</v>
      </c>
      <c r="H698" s="83" t="s">
        <v>14</v>
      </c>
      <c r="I698" s="83" t="s">
        <v>13</v>
      </c>
      <c r="J698" s="83">
        <v>45</v>
      </c>
      <c r="K698" s="84"/>
      <c r="L698" s="83" t="s">
        <v>12</v>
      </c>
      <c r="M698" s="83" t="s">
        <v>88</v>
      </c>
      <c r="N698" s="85">
        <v>45968</v>
      </c>
      <c r="O698" s="86" t="s">
        <v>10</v>
      </c>
      <c r="P698" s="85" t="s">
        <v>20</v>
      </c>
      <c r="Q698" s="91">
        <v>971253856</v>
      </c>
      <c r="R698" s="87"/>
      <c r="S698" s="30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</row>
    <row r="699" spans="2:37" ht="16.2" x14ac:dyDescent="0.3">
      <c r="B699" s="80">
        <v>691</v>
      </c>
      <c r="C699" s="84" t="s">
        <v>1119</v>
      </c>
      <c r="D699" s="82" t="s">
        <v>1120</v>
      </c>
      <c r="E699" s="83">
        <v>7867</v>
      </c>
      <c r="F699" s="83" t="s">
        <v>16</v>
      </c>
      <c r="G699" s="84" t="s">
        <v>273</v>
      </c>
      <c r="H699" s="83" t="s">
        <v>14</v>
      </c>
      <c r="I699" s="83" t="s">
        <v>13</v>
      </c>
      <c r="J699" s="83">
        <v>45</v>
      </c>
      <c r="K699" s="84"/>
      <c r="L699" s="83" t="s">
        <v>26</v>
      </c>
      <c r="M699" s="83" t="s">
        <v>88</v>
      </c>
      <c r="N699" s="85">
        <v>45968</v>
      </c>
      <c r="O699" s="86" t="s">
        <v>10</v>
      </c>
      <c r="P699" s="85" t="s">
        <v>20</v>
      </c>
      <c r="Q699" s="91">
        <v>974258617</v>
      </c>
      <c r="R699" s="87"/>
      <c r="S699" s="30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</row>
    <row r="700" spans="2:37" ht="16.2" x14ac:dyDescent="0.3">
      <c r="B700" s="80">
        <v>692</v>
      </c>
      <c r="C700" s="84" t="s">
        <v>765</v>
      </c>
      <c r="D700" s="82" t="s">
        <v>764</v>
      </c>
      <c r="E700" s="83">
        <v>7868</v>
      </c>
      <c r="F700" s="83" t="s">
        <v>16</v>
      </c>
      <c r="G700" s="83" t="s">
        <v>100</v>
      </c>
      <c r="H700" s="83" t="s">
        <v>14</v>
      </c>
      <c r="I700" s="83" t="s">
        <v>13</v>
      </c>
      <c r="J700" s="83">
        <v>55</v>
      </c>
      <c r="K700" s="84"/>
      <c r="L700" s="83" t="s">
        <v>12</v>
      </c>
      <c r="M700" s="83" t="s">
        <v>88</v>
      </c>
      <c r="N700" s="85">
        <v>45968</v>
      </c>
      <c r="O700" s="86" t="s">
        <v>10</v>
      </c>
      <c r="P700" s="85" t="s">
        <v>20</v>
      </c>
      <c r="Q700" s="91">
        <v>903180516</v>
      </c>
      <c r="R700" s="87"/>
      <c r="S700" s="30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</row>
    <row r="701" spans="2:37" ht="16.2" x14ac:dyDescent="0.3">
      <c r="B701" s="80">
        <v>693</v>
      </c>
      <c r="C701" s="84" t="s">
        <v>491</v>
      </c>
      <c r="D701" s="82" t="s">
        <v>490</v>
      </c>
      <c r="E701" s="83">
        <v>7870</v>
      </c>
      <c r="F701" s="83" t="s">
        <v>28</v>
      </c>
      <c r="G701" s="83" t="s">
        <v>106</v>
      </c>
      <c r="H701" s="83" t="s">
        <v>14</v>
      </c>
      <c r="I701" s="83" t="s">
        <v>1059</v>
      </c>
      <c r="J701" s="83">
        <v>20</v>
      </c>
      <c r="K701" s="84"/>
      <c r="L701" s="83" t="s">
        <v>26</v>
      </c>
      <c r="M701" s="83" t="s">
        <v>88</v>
      </c>
      <c r="N701" s="85">
        <v>45968</v>
      </c>
      <c r="O701" s="86" t="s">
        <v>25</v>
      </c>
      <c r="P701" s="85" t="s">
        <v>20</v>
      </c>
      <c r="Q701" s="91">
        <v>995373173</v>
      </c>
      <c r="R701" s="87"/>
      <c r="S701" s="30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</row>
    <row r="702" spans="2:37" ht="16.2" x14ac:dyDescent="0.3">
      <c r="B702" s="80">
        <v>694</v>
      </c>
      <c r="C702" s="84" t="s">
        <v>1121</v>
      </c>
      <c r="D702" s="82" t="s">
        <v>1122</v>
      </c>
      <c r="E702" s="83">
        <v>7871</v>
      </c>
      <c r="F702" s="83" t="s">
        <v>28</v>
      </c>
      <c r="G702" s="83" t="s">
        <v>106</v>
      </c>
      <c r="H702" s="83" t="s">
        <v>14</v>
      </c>
      <c r="I702" s="83" t="s">
        <v>281</v>
      </c>
      <c r="J702" s="83">
        <v>80</v>
      </c>
      <c r="K702" s="84"/>
      <c r="L702" s="83" t="s">
        <v>26</v>
      </c>
      <c r="M702" s="83" t="s">
        <v>88</v>
      </c>
      <c r="N702" s="85">
        <v>45968</v>
      </c>
      <c r="O702" s="86" t="s">
        <v>25</v>
      </c>
      <c r="P702" s="85" t="s">
        <v>20</v>
      </c>
      <c r="Q702" s="91">
        <v>853640602</v>
      </c>
      <c r="R702" s="87"/>
      <c r="S702" s="30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</row>
    <row r="703" spans="2:37" ht="16.2" x14ac:dyDescent="0.3">
      <c r="B703" s="80">
        <v>695</v>
      </c>
      <c r="C703" s="84" t="s">
        <v>1123</v>
      </c>
      <c r="D703" s="82" t="s">
        <v>1124</v>
      </c>
      <c r="E703" s="83">
        <v>7872</v>
      </c>
      <c r="F703" s="83" t="s">
        <v>16</v>
      </c>
      <c r="G703" s="83" t="s">
        <v>164</v>
      </c>
      <c r="H703" s="83" t="s">
        <v>14</v>
      </c>
      <c r="I703" s="83" t="s">
        <v>281</v>
      </c>
      <c r="J703" s="83">
        <v>80</v>
      </c>
      <c r="K703" s="84"/>
      <c r="L703" s="83" t="s">
        <v>26</v>
      </c>
      <c r="M703" s="83" t="s">
        <v>88</v>
      </c>
      <c r="N703" s="85">
        <v>45968</v>
      </c>
      <c r="O703" s="86" t="s">
        <v>25</v>
      </c>
      <c r="P703" s="85" t="s">
        <v>20</v>
      </c>
      <c r="Q703" s="91">
        <v>853640602</v>
      </c>
      <c r="R703" s="87"/>
      <c r="S703" s="30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</row>
    <row r="704" spans="2:37" ht="16.2" x14ac:dyDescent="0.3">
      <c r="B704" s="80">
        <v>696</v>
      </c>
      <c r="C704" s="84" t="s">
        <v>332</v>
      </c>
      <c r="D704" s="82" t="s">
        <v>331</v>
      </c>
      <c r="E704" s="83">
        <v>7873</v>
      </c>
      <c r="F704" s="83" t="s">
        <v>16</v>
      </c>
      <c r="G704" s="83" t="s">
        <v>164</v>
      </c>
      <c r="H704" s="83" t="s">
        <v>14</v>
      </c>
      <c r="I704" s="83" t="s">
        <v>13</v>
      </c>
      <c r="J704" s="83">
        <v>100</v>
      </c>
      <c r="K704" s="84"/>
      <c r="L704" s="83" t="s">
        <v>26</v>
      </c>
      <c r="M704" s="83" t="s">
        <v>88</v>
      </c>
      <c r="N704" s="85">
        <v>45968</v>
      </c>
      <c r="O704" s="86" t="s">
        <v>25</v>
      </c>
      <c r="P704" s="85" t="s">
        <v>20</v>
      </c>
      <c r="Q704" s="91">
        <v>974779917</v>
      </c>
      <c r="R704" s="87"/>
      <c r="S704" s="30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</row>
    <row r="705" spans="2:37" ht="16.2" x14ac:dyDescent="0.3">
      <c r="B705" s="80">
        <v>697</v>
      </c>
      <c r="C705" s="84" t="s">
        <v>854</v>
      </c>
      <c r="D705" s="82" t="s">
        <v>855</v>
      </c>
      <c r="E705" s="83">
        <v>7874</v>
      </c>
      <c r="F705" s="83" t="s">
        <v>28</v>
      </c>
      <c r="G705" s="83" t="s">
        <v>124</v>
      </c>
      <c r="H705" s="83" t="s">
        <v>14</v>
      </c>
      <c r="I705" s="83" t="s">
        <v>13</v>
      </c>
      <c r="J705" s="83">
        <v>55</v>
      </c>
      <c r="K705" s="84"/>
      <c r="L705" s="83" t="s">
        <v>26</v>
      </c>
      <c r="M705" s="83" t="s">
        <v>88</v>
      </c>
      <c r="N705" s="85">
        <v>45968</v>
      </c>
      <c r="O705" s="86" t="s">
        <v>25</v>
      </c>
      <c r="P705" s="85" t="s">
        <v>20</v>
      </c>
      <c r="Q705" s="91">
        <v>974779917</v>
      </c>
      <c r="R705" s="87"/>
      <c r="S705" s="30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</row>
    <row r="706" spans="2:37" ht="16.2" x14ac:dyDescent="0.3">
      <c r="B706" s="80">
        <v>698</v>
      </c>
      <c r="C706" s="84" t="s">
        <v>475</v>
      </c>
      <c r="D706" s="82" t="s">
        <v>474</v>
      </c>
      <c r="E706" s="83">
        <v>7875</v>
      </c>
      <c r="F706" s="83" t="s">
        <v>28</v>
      </c>
      <c r="G706" s="83" t="s">
        <v>27</v>
      </c>
      <c r="H706" s="83" t="s">
        <v>14</v>
      </c>
      <c r="I706" s="83" t="s">
        <v>13</v>
      </c>
      <c r="J706" s="83">
        <v>55</v>
      </c>
      <c r="K706" s="84"/>
      <c r="L706" s="83" t="s">
        <v>12</v>
      </c>
      <c r="M706" s="83" t="s">
        <v>88</v>
      </c>
      <c r="N706" s="85">
        <v>45968</v>
      </c>
      <c r="O706" s="86" t="s">
        <v>25</v>
      </c>
      <c r="P706" s="85" t="s">
        <v>20</v>
      </c>
      <c r="Q706" s="91">
        <v>999943179</v>
      </c>
      <c r="R706" s="87"/>
      <c r="S706" s="30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</row>
    <row r="707" spans="2:37" ht="16.2" x14ac:dyDescent="0.3">
      <c r="B707" s="80">
        <v>699</v>
      </c>
      <c r="C707" s="84" t="s">
        <v>243</v>
      </c>
      <c r="D707" s="82" t="s">
        <v>242</v>
      </c>
      <c r="E707" s="83">
        <v>7876</v>
      </c>
      <c r="F707" s="83" t="s">
        <v>28</v>
      </c>
      <c r="G707" s="84" t="s">
        <v>106</v>
      </c>
      <c r="H707" s="83" t="s">
        <v>14</v>
      </c>
      <c r="I707" s="83" t="s">
        <v>281</v>
      </c>
      <c r="J707" s="83">
        <v>70</v>
      </c>
      <c r="K707" s="84"/>
      <c r="L707" s="83" t="s">
        <v>26</v>
      </c>
      <c r="M707" s="83" t="s">
        <v>88</v>
      </c>
      <c r="N707" s="85">
        <v>45968</v>
      </c>
      <c r="O707" s="86" t="s">
        <v>25</v>
      </c>
      <c r="P707" s="85" t="s">
        <v>20</v>
      </c>
      <c r="Q707" s="91">
        <v>995220630</v>
      </c>
      <c r="R707" s="87"/>
      <c r="S707" s="30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</row>
    <row r="708" spans="2:37" ht="16.2" x14ac:dyDescent="0.3">
      <c r="B708" s="80">
        <v>700</v>
      </c>
      <c r="C708" s="84" t="s">
        <v>241</v>
      </c>
      <c r="D708" s="82" t="s">
        <v>240</v>
      </c>
      <c r="E708" s="83">
        <v>7877</v>
      </c>
      <c r="F708" s="83" t="s">
        <v>28</v>
      </c>
      <c r="G708" s="83" t="s">
        <v>106</v>
      </c>
      <c r="H708" s="83" t="s">
        <v>14</v>
      </c>
      <c r="I708" s="83" t="s">
        <v>281</v>
      </c>
      <c r="J708" s="83">
        <v>65.38</v>
      </c>
      <c r="K708" s="84"/>
      <c r="L708" s="83" t="s">
        <v>12</v>
      </c>
      <c r="M708" s="83" t="s">
        <v>88</v>
      </c>
      <c r="N708" s="85">
        <v>45968</v>
      </c>
      <c r="O708" s="86" t="s">
        <v>25</v>
      </c>
      <c r="P708" s="85" t="s">
        <v>20</v>
      </c>
      <c r="Q708" s="91">
        <v>979081780</v>
      </c>
      <c r="R708" s="87"/>
      <c r="S708" s="30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</row>
    <row r="709" spans="2:37" ht="16.2" x14ac:dyDescent="0.3">
      <c r="B709" s="80">
        <v>701</v>
      </c>
      <c r="C709" s="84" t="s">
        <v>718</v>
      </c>
      <c r="D709" s="82" t="s">
        <v>717</v>
      </c>
      <c r="E709" s="83">
        <v>7878</v>
      </c>
      <c r="F709" s="83" t="s">
        <v>28</v>
      </c>
      <c r="G709" s="83" t="s">
        <v>301</v>
      </c>
      <c r="H709" s="83" t="s">
        <v>14</v>
      </c>
      <c r="I709" s="83" t="s">
        <v>13</v>
      </c>
      <c r="J709" s="83">
        <v>100</v>
      </c>
      <c r="K709" s="84"/>
      <c r="L709" s="83" t="s">
        <v>12</v>
      </c>
      <c r="M709" s="83" t="s">
        <v>88</v>
      </c>
      <c r="N709" s="85">
        <v>45968</v>
      </c>
      <c r="O709" s="86" t="s">
        <v>25</v>
      </c>
      <c r="P709" s="85" t="s">
        <v>20</v>
      </c>
      <c r="Q709" s="91">
        <v>977239341</v>
      </c>
      <c r="R709" s="87"/>
      <c r="S709" s="30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</row>
    <row r="710" spans="2:37" ht="16.2" x14ac:dyDescent="0.3">
      <c r="B710" s="80">
        <v>702</v>
      </c>
      <c r="C710" s="84" t="s">
        <v>190</v>
      </c>
      <c r="D710" s="82" t="s">
        <v>189</v>
      </c>
      <c r="E710" s="83">
        <v>7879</v>
      </c>
      <c r="F710" s="83" t="s">
        <v>28</v>
      </c>
      <c r="G710" s="83" t="s">
        <v>100</v>
      </c>
      <c r="H710" s="83" t="s">
        <v>14</v>
      </c>
      <c r="I710" s="83" t="s">
        <v>281</v>
      </c>
      <c r="J710" s="83">
        <v>50</v>
      </c>
      <c r="K710" s="83"/>
      <c r="L710" s="83" t="s">
        <v>12</v>
      </c>
      <c r="M710" s="83" t="s">
        <v>88</v>
      </c>
      <c r="N710" s="85">
        <v>45968</v>
      </c>
      <c r="O710" s="86" t="s">
        <v>10</v>
      </c>
      <c r="P710" s="85" t="s">
        <v>20</v>
      </c>
      <c r="Q710" s="91" t="s">
        <v>188</v>
      </c>
      <c r="R710" s="87"/>
      <c r="S710" s="30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</row>
    <row r="711" spans="2:37" ht="16.2" x14ac:dyDescent="0.3">
      <c r="B711" s="80">
        <v>703</v>
      </c>
      <c r="C711" s="84" t="s">
        <v>158</v>
      </c>
      <c r="D711" s="82" t="s">
        <v>157</v>
      </c>
      <c r="E711" s="83">
        <v>7880</v>
      </c>
      <c r="F711" s="83" t="s">
        <v>28</v>
      </c>
      <c r="G711" s="84" t="s">
        <v>68</v>
      </c>
      <c r="H711" s="83" t="s">
        <v>14</v>
      </c>
      <c r="I711" s="83" t="s">
        <v>281</v>
      </c>
      <c r="J711" s="83">
        <v>50</v>
      </c>
      <c r="K711" s="84"/>
      <c r="L711" s="83" t="s">
        <v>26</v>
      </c>
      <c r="M711" s="83" t="s">
        <v>88</v>
      </c>
      <c r="N711" s="85">
        <v>45968</v>
      </c>
      <c r="O711" s="86" t="s">
        <v>25</v>
      </c>
      <c r="P711" s="85" t="s">
        <v>20</v>
      </c>
      <c r="Q711" s="91">
        <v>993634343</v>
      </c>
      <c r="R711" s="87"/>
      <c r="S711" s="30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</row>
    <row r="712" spans="2:37" ht="16.2" x14ac:dyDescent="0.3">
      <c r="B712" s="80">
        <v>704</v>
      </c>
      <c r="C712" s="84" t="s">
        <v>336</v>
      </c>
      <c r="D712" s="82" t="s">
        <v>335</v>
      </c>
      <c r="E712" s="83">
        <v>7881</v>
      </c>
      <c r="F712" s="83" t="s">
        <v>16</v>
      </c>
      <c r="G712" s="83" t="s">
        <v>37</v>
      </c>
      <c r="H712" s="83" t="s">
        <v>14</v>
      </c>
      <c r="I712" s="83" t="s">
        <v>103</v>
      </c>
      <c r="J712" s="83">
        <v>5</v>
      </c>
      <c r="K712" s="84"/>
      <c r="L712" s="83" t="s">
        <v>12</v>
      </c>
      <c r="M712" s="83" t="s">
        <v>88</v>
      </c>
      <c r="N712" s="85">
        <v>45968</v>
      </c>
      <c r="O712" s="86" t="s">
        <v>10</v>
      </c>
      <c r="P712" s="85" t="s">
        <v>20</v>
      </c>
      <c r="Q712" s="91">
        <v>991818650</v>
      </c>
      <c r="R712" s="87"/>
      <c r="S712" s="30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</row>
    <row r="713" spans="2:37" ht="16.2" x14ac:dyDescent="0.3">
      <c r="B713" s="80">
        <v>705</v>
      </c>
      <c r="C713" s="84" t="s">
        <v>33</v>
      </c>
      <c r="D713" s="82" t="s">
        <v>32</v>
      </c>
      <c r="E713" s="83">
        <v>7882</v>
      </c>
      <c r="F713" s="83" t="s">
        <v>16</v>
      </c>
      <c r="G713" s="83" t="s">
        <v>31</v>
      </c>
      <c r="H713" s="83" t="s">
        <v>14</v>
      </c>
      <c r="I713" s="83" t="s">
        <v>1059</v>
      </c>
      <c r="J713" s="83">
        <v>5</v>
      </c>
      <c r="K713" s="84"/>
      <c r="L713" s="83" t="s">
        <v>26</v>
      </c>
      <c r="M713" s="83" t="s">
        <v>88</v>
      </c>
      <c r="N713" s="85">
        <v>45968</v>
      </c>
      <c r="O713" s="86" t="s">
        <v>25</v>
      </c>
      <c r="P713" s="85" t="s">
        <v>20</v>
      </c>
      <c r="Q713" s="91">
        <v>897956248</v>
      </c>
      <c r="R713" s="87"/>
      <c r="S713" s="30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</row>
    <row r="714" spans="2:37" ht="16.2" x14ac:dyDescent="0.3">
      <c r="B714" s="80">
        <v>706</v>
      </c>
      <c r="C714" s="84" t="s">
        <v>1125</v>
      </c>
      <c r="D714" s="82" t="s">
        <v>1126</v>
      </c>
      <c r="E714" s="83">
        <v>7883</v>
      </c>
      <c r="F714" s="83" t="s">
        <v>28</v>
      </c>
      <c r="G714" s="84" t="s">
        <v>27</v>
      </c>
      <c r="H714" s="83" t="s">
        <v>14</v>
      </c>
      <c r="I714" s="83" t="s">
        <v>13</v>
      </c>
      <c r="J714" s="83">
        <v>55</v>
      </c>
      <c r="K714" s="84"/>
      <c r="L714" s="83" t="s">
        <v>26</v>
      </c>
      <c r="M714" s="83" t="s">
        <v>88</v>
      </c>
      <c r="N714" s="85">
        <v>45968</v>
      </c>
      <c r="O714" s="86" t="s">
        <v>25</v>
      </c>
      <c r="P714" s="85" t="s">
        <v>20</v>
      </c>
      <c r="Q714" s="91">
        <v>972735228</v>
      </c>
      <c r="R714" s="87"/>
      <c r="S714" s="30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</row>
    <row r="715" spans="2:37" ht="16.2" x14ac:dyDescent="0.3">
      <c r="B715" s="80">
        <v>707</v>
      </c>
      <c r="C715" s="84" t="s">
        <v>110</v>
      </c>
      <c r="D715" s="82" t="s">
        <v>109</v>
      </c>
      <c r="E715" s="83">
        <v>7885</v>
      </c>
      <c r="F715" s="83" t="s">
        <v>28</v>
      </c>
      <c r="G715" s="83" t="s">
        <v>65</v>
      </c>
      <c r="H715" s="83" t="s">
        <v>14</v>
      </c>
      <c r="I715" s="83" t="s">
        <v>21</v>
      </c>
      <c r="J715" s="83">
        <v>50</v>
      </c>
      <c r="K715" s="84"/>
      <c r="L715" s="83" t="s">
        <v>26</v>
      </c>
      <c r="M715" s="83" t="s">
        <v>216</v>
      </c>
      <c r="N715" s="85">
        <v>45968</v>
      </c>
      <c r="O715" s="86" t="s">
        <v>10</v>
      </c>
      <c r="P715" s="85" t="s">
        <v>20</v>
      </c>
      <c r="Q715" s="91"/>
      <c r="R715" s="87"/>
      <c r="S715" s="30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</row>
    <row r="716" spans="2:37" ht="16.2" x14ac:dyDescent="0.3">
      <c r="B716" s="80">
        <v>708</v>
      </c>
      <c r="C716" s="84" t="s">
        <v>757</v>
      </c>
      <c r="D716" s="82" t="s">
        <v>756</v>
      </c>
      <c r="E716" s="83">
        <v>7886</v>
      </c>
      <c r="F716" s="83" t="s">
        <v>16</v>
      </c>
      <c r="G716" s="83" t="s">
        <v>161</v>
      </c>
      <c r="H716" s="83" t="s">
        <v>14</v>
      </c>
      <c r="I716" s="83" t="s">
        <v>281</v>
      </c>
      <c r="J716" s="83">
        <v>80</v>
      </c>
      <c r="K716" s="84"/>
      <c r="L716" s="83" t="s">
        <v>26</v>
      </c>
      <c r="M716" s="83" t="s">
        <v>216</v>
      </c>
      <c r="N716" s="85">
        <v>45969</v>
      </c>
      <c r="O716" s="86" t="s">
        <v>25</v>
      </c>
      <c r="P716" s="85" t="s">
        <v>20</v>
      </c>
      <c r="Q716" s="91">
        <v>979340056</v>
      </c>
      <c r="R716" s="87"/>
      <c r="S716" s="30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</row>
    <row r="717" spans="2:37" ht="16.2" x14ac:dyDescent="0.3">
      <c r="B717" s="80">
        <v>709</v>
      </c>
      <c r="C717" s="84" t="s">
        <v>862</v>
      </c>
      <c r="D717" s="82" t="s">
        <v>863</v>
      </c>
      <c r="E717" s="83">
        <v>7887</v>
      </c>
      <c r="F717" s="83" t="s">
        <v>16</v>
      </c>
      <c r="G717" s="83" t="s">
        <v>124</v>
      </c>
      <c r="H717" s="83" t="s">
        <v>14</v>
      </c>
      <c r="I717" s="83" t="s">
        <v>1059</v>
      </c>
      <c r="J717" s="83">
        <v>5</v>
      </c>
      <c r="K717" s="84"/>
      <c r="L717" s="83" t="s">
        <v>26</v>
      </c>
      <c r="M717" s="83" t="s">
        <v>216</v>
      </c>
      <c r="N717" s="85">
        <v>45969</v>
      </c>
      <c r="O717" s="86" t="s">
        <v>25</v>
      </c>
      <c r="P717" s="85" t="s">
        <v>20</v>
      </c>
      <c r="Q717" s="91">
        <v>817302077</v>
      </c>
      <c r="R717" s="87"/>
      <c r="S717" s="30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</row>
    <row r="718" spans="2:37" ht="16.2" x14ac:dyDescent="0.3">
      <c r="B718" s="80">
        <v>710</v>
      </c>
      <c r="C718" s="84" t="s">
        <v>1127</v>
      </c>
      <c r="D718" s="82" t="s">
        <v>1128</v>
      </c>
      <c r="E718" s="83">
        <v>7888</v>
      </c>
      <c r="F718" s="83" t="s">
        <v>16</v>
      </c>
      <c r="G718" s="83" t="s">
        <v>50</v>
      </c>
      <c r="H718" s="83" t="s">
        <v>14</v>
      </c>
      <c r="I718" s="83" t="s">
        <v>13</v>
      </c>
      <c r="J718" s="83">
        <v>40</v>
      </c>
      <c r="K718" s="84"/>
      <c r="L718" s="83" t="s">
        <v>26</v>
      </c>
      <c r="M718" s="83" t="s">
        <v>216</v>
      </c>
      <c r="N718" s="85">
        <v>45969</v>
      </c>
      <c r="O718" s="86" t="s">
        <v>10</v>
      </c>
      <c r="P718" s="85" t="s">
        <v>9</v>
      </c>
      <c r="Q718" s="91" t="s">
        <v>1129</v>
      </c>
      <c r="R718" s="87"/>
      <c r="S718" s="30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</row>
    <row r="719" spans="2:37" ht="16.2" x14ac:dyDescent="0.3">
      <c r="B719" s="80">
        <v>711</v>
      </c>
      <c r="C719" s="84" t="s">
        <v>477</v>
      </c>
      <c r="D719" s="82" t="s">
        <v>476</v>
      </c>
      <c r="E719" s="83">
        <v>7889</v>
      </c>
      <c r="F719" s="83" t="s">
        <v>28</v>
      </c>
      <c r="G719" s="83" t="s">
        <v>97</v>
      </c>
      <c r="H719" s="83" t="s">
        <v>14</v>
      </c>
      <c r="I719" s="83" t="s">
        <v>13</v>
      </c>
      <c r="J719" s="83">
        <v>100</v>
      </c>
      <c r="K719" s="84"/>
      <c r="L719" s="83" t="s">
        <v>26</v>
      </c>
      <c r="M719" s="83" t="s">
        <v>216</v>
      </c>
      <c r="N719" s="85">
        <v>45969</v>
      </c>
      <c r="O719" s="86" t="s">
        <v>25</v>
      </c>
      <c r="P719" s="85" t="s">
        <v>20</v>
      </c>
      <c r="Q719" s="91">
        <v>243992403357</v>
      </c>
      <c r="R719" s="87"/>
      <c r="S719" s="30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</row>
    <row r="720" spans="2:37" ht="16.2" x14ac:dyDescent="0.3">
      <c r="B720" s="80">
        <v>712</v>
      </c>
      <c r="C720" s="84" t="s">
        <v>1130</v>
      </c>
      <c r="D720" s="82" t="s">
        <v>1131</v>
      </c>
      <c r="E720" s="83">
        <v>7890</v>
      </c>
      <c r="F720" s="83" t="s">
        <v>16</v>
      </c>
      <c r="G720" s="83" t="s">
        <v>237</v>
      </c>
      <c r="H720" s="83" t="s">
        <v>14</v>
      </c>
      <c r="I720" s="83" t="s">
        <v>13</v>
      </c>
      <c r="J720" s="83">
        <v>55</v>
      </c>
      <c r="K720" s="84"/>
      <c r="L720" s="83" t="s">
        <v>26</v>
      </c>
      <c r="M720" s="83" t="s">
        <v>216</v>
      </c>
      <c r="N720" s="85">
        <v>45969</v>
      </c>
      <c r="O720" s="86" t="s">
        <v>10</v>
      </c>
      <c r="P720" s="85" t="s">
        <v>20</v>
      </c>
      <c r="Q720" s="91">
        <v>982324520</v>
      </c>
      <c r="R720" s="87"/>
      <c r="S720" s="30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</row>
    <row r="721" spans="2:37" ht="16.2" x14ac:dyDescent="0.3">
      <c r="B721" s="80">
        <v>713</v>
      </c>
      <c r="C721" s="84" t="s">
        <v>1132</v>
      </c>
      <c r="D721" s="82" t="s">
        <v>1133</v>
      </c>
      <c r="E721" s="83">
        <v>7891</v>
      </c>
      <c r="F721" s="83" t="s">
        <v>28</v>
      </c>
      <c r="G721" s="84" t="s">
        <v>22</v>
      </c>
      <c r="H721" s="83" t="s">
        <v>14</v>
      </c>
      <c r="I721" s="83" t="s">
        <v>13</v>
      </c>
      <c r="J721" s="83">
        <v>45</v>
      </c>
      <c r="K721" s="84"/>
      <c r="L721" s="83" t="s">
        <v>26</v>
      </c>
      <c r="M721" s="83" t="s">
        <v>216</v>
      </c>
      <c r="N721" s="85">
        <v>45969</v>
      </c>
      <c r="O721" s="86" t="s">
        <v>10</v>
      </c>
      <c r="P721" s="85" t="s">
        <v>20</v>
      </c>
      <c r="Q721" s="91">
        <v>982324520</v>
      </c>
      <c r="R721" s="87"/>
      <c r="S721" s="30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</row>
    <row r="722" spans="2:37" ht="16.2" customHeight="1" x14ac:dyDescent="0.3">
      <c r="B722" s="80">
        <v>714</v>
      </c>
      <c r="C722" s="84" t="s">
        <v>1134</v>
      </c>
      <c r="D722" s="82" t="s">
        <v>1135</v>
      </c>
      <c r="E722" s="83">
        <v>7892</v>
      </c>
      <c r="F722" s="83" t="s">
        <v>16</v>
      </c>
      <c r="G722" s="83" t="s">
        <v>83</v>
      </c>
      <c r="H722" s="83" t="s">
        <v>14</v>
      </c>
      <c r="I722" s="83" t="s">
        <v>13</v>
      </c>
      <c r="J722" s="83">
        <v>40</v>
      </c>
      <c r="K722" s="84"/>
      <c r="L722" s="83" t="s">
        <v>26</v>
      </c>
      <c r="M722" s="83" t="s">
        <v>216</v>
      </c>
      <c r="N722" s="85">
        <v>45969</v>
      </c>
      <c r="O722" s="86" t="s">
        <v>10</v>
      </c>
      <c r="P722" s="85" t="s">
        <v>9</v>
      </c>
      <c r="Q722" s="91">
        <v>982324520</v>
      </c>
      <c r="R722" s="87"/>
      <c r="S722" s="30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</row>
    <row r="723" spans="2:37" ht="16.2" customHeight="1" x14ac:dyDescent="0.3">
      <c r="B723" s="80">
        <v>715</v>
      </c>
      <c r="C723" s="84" t="s">
        <v>1136</v>
      </c>
      <c r="D723" s="82" t="s">
        <v>1137</v>
      </c>
      <c r="E723" s="83">
        <v>7893</v>
      </c>
      <c r="F723" s="83" t="s">
        <v>16</v>
      </c>
      <c r="G723" s="83" t="s">
        <v>50</v>
      </c>
      <c r="H723" s="83" t="s">
        <v>14</v>
      </c>
      <c r="I723" s="83" t="s">
        <v>13</v>
      </c>
      <c r="J723" s="83">
        <v>40</v>
      </c>
      <c r="K723" s="84"/>
      <c r="L723" s="83" t="s">
        <v>26</v>
      </c>
      <c r="M723" s="83" t="s">
        <v>216</v>
      </c>
      <c r="N723" s="85">
        <v>45969</v>
      </c>
      <c r="O723" s="86" t="s">
        <v>10</v>
      </c>
      <c r="P723" s="85" t="s">
        <v>9</v>
      </c>
      <c r="Q723" s="91">
        <v>982324520</v>
      </c>
      <c r="R723" s="87"/>
      <c r="S723" s="30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</row>
    <row r="724" spans="2:37" ht="16.2" customHeight="1" x14ac:dyDescent="0.3">
      <c r="B724" s="80">
        <v>716</v>
      </c>
      <c r="C724" s="84" t="s">
        <v>662</v>
      </c>
      <c r="D724" s="82" t="s">
        <v>661</v>
      </c>
      <c r="E724" s="108">
        <v>5697</v>
      </c>
      <c r="F724" s="83" t="s">
        <v>16</v>
      </c>
      <c r="G724" s="83" t="s">
        <v>83</v>
      </c>
      <c r="H724" s="83" t="s">
        <v>14</v>
      </c>
      <c r="I724" s="83" t="s">
        <v>983</v>
      </c>
      <c r="J724" s="83">
        <v>16</v>
      </c>
      <c r="K724" s="84"/>
      <c r="L724" s="83" t="s">
        <v>12</v>
      </c>
      <c r="M724" s="83" t="s">
        <v>11</v>
      </c>
      <c r="N724" s="85">
        <v>45959</v>
      </c>
      <c r="O724" s="86" t="s">
        <v>10</v>
      </c>
      <c r="P724" s="85" t="s">
        <v>9</v>
      </c>
      <c r="Q724" s="91"/>
      <c r="R724" s="87"/>
      <c r="S724" s="30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</row>
    <row r="725" spans="2:37" ht="16.2" x14ac:dyDescent="0.3">
      <c r="B725" s="80">
        <v>717</v>
      </c>
      <c r="C725" s="84" t="s">
        <v>180</v>
      </c>
      <c r="D725" s="82" t="s">
        <v>179</v>
      </c>
      <c r="E725" s="83">
        <v>7894</v>
      </c>
      <c r="F725" s="83" t="s">
        <v>28</v>
      </c>
      <c r="G725" s="83" t="s">
        <v>50</v>
      </c>
      <c r="H725" s="83" t="s">
        <v>14</v>
      </c>
      <c r="I725" s="83" t="s">
        <v>13</v>
      </c>
      <c r="J725" s="83">
        <v>40</v>
      </c>
      <c r="K725" s="84"/>
      <c r="L725" s="83" t="s">
        <v>26</v>
      </c>
      <c r="M725" s="83" t="s">
        <v>216</v>
      </c>
      <c r="N725" s="85">
        <v>45969</v>
      </c>
      <c r="O725" s="86" t="s">
        <v>10</v>
      </c>
      <c r="P725" s="85" t="s">
        <v>9</v>
      </c>
      <c r="Q725" s="91">
        <v>990424499</v>
      </c>
      <c r="R725" s="87"/>
      <c r="S725" s="30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</row>
    <row r="726" spans="2:37" ht="16.2" x14ac:dyDescent="0.3">
      <c r="B726" s="80">
        <v>718</v>
      </c>
      <c r="C726" s="84" t="s">
        <v>187</v>
      </c>
      <c r="D726" s="82" t="s">
        <v>186</v>
      </c>
      <c r="E726" s="83">
        <v>7895</v>
      </c>
      <c r="F726" s="83" t="s">
        <v>16</v>
      </c>
      <c r="G726" s="83" t="s">
        <v>185</v>
      </c>
      <c r="H726" s="83" t="s">
        <v>14</v>
      </c>
      <c r="I726" s="83" t="s">
        <v>13</v>
      </c>
      <c r="J726" s="83">
        <v>55</v>
      </c>
      <c r="K726" s="84"/>
      <c r="L726" s="83" t="s">
        <v>26</v>
      </c>
      <c r="M726" s="83" t="s">
        <v>216</v>
      </c>
      <c r="N726" s="85">
        <v>45969</v>
      </c>
      <c r="O726" s="86" t="s">
        <v>10</v>
      </c>
      <c r="P726" s="85" t="s">
        <v>20</v>
      </c>
      <c r="Q726" s="91">
        <v>974735441</v>
      </c>
      <c r="R726" s="87"/>
      <c r="S726" s="30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</row>
    <row r="727" spans="2:37" ht="16.2" x14ac:dyDescent="0.3">
      <c r="B727" s="80">
        <v>719</v>
      </c>
      <c r="C727" s="84" t="s">
        <v>1138</v>
      </c>
      <c r="D727" s="82" t="s">
        <v>1139</v>
      </c>
      <c r="E727" s="83">
        <v>7896</v>
      </c>
      <c r="F727" s="83" t="s">
        <v>28</v>
      </c>
      <c r="G727" s="83" t="s">
        <v>1140</v>
      </c>
      <c r="H727" s="83" t="s">
        <v>14</v>
      </c>
      <c r="I727" s="83" t="s">
        <v>103</v>
      </c>
      <c r="J727" s="83">
        <v>5</v>
      </c>
      <c r="K727" s="84"/>
      <c r="L727" s="83" t="s">
        <v>26</v>
      </c>
      <c r="M727" s="83" t="s">
        <v>216</v>
      </c>
      <c r="N727" s="85">
        <v>45969</v>
      </c>
      <c r="O727" s="86" t="s">
        <v>10</v>
      </c>
      <c r="P727" s="85" t="s">
        <v>20</v>
      </c>
      <c r="Q727" s="91">
        <v>992247155</v>
      </c>
      <c r="R727" s="87"/>
      <c r="S727" s="30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</row>
    <row r="728" spans="2:37" ht="16.2" x14ac:dyDescent="0.3">
      <c r="B728" s="80">
        <v>720</v>
      </c>
      <c r="C728" s="84" t="s">
        <v>1141</v>
      </c>
      <c r="D728" s="82" t="s">
        <v>1142</v>
      </c>
      <c r="E728" s="83">
        <v>7897</v>
      </c>
      <c r="F728" s="83" t="s">
        <v>16</v>
      </c>
      <c r="G728" s="83" t="s">
        <v>37</v>
      </c>
      <c r="H728" s="83" t="s">
        <v>14</v>
      </c>
      <c r="I728" s="83" t="s">
        <v>13</v>
      </c>
      <c r="J728" s="83">
        <v>45</v>
      </c>
      <c r="K728" s="84"/>
      <c r="L728" s="83" t="s">
        <v>26</v>
      </c>
      <c r="M728" s="83" t="s">
        <v>216</v>
      </c>
      <c r="N728" s="85">
        <v>45880</v>
      </c>
      <c r="O728" s="86" t="s">
        <v>10</v>
      </c>
      <c r="P728" s="85" t="s">
        <v>20</v>
      </c>
      <c r="Q728" s="91">
        <v>819818888</v>
      </c>
      <c r="R728" s="87"/>
      <c r="S728" s="30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</row>
    <row r="729" spans="2:37" ht="16.2" x14ac:dyDescent="0.3">
      <c r="B729" s="80">
        <v>721</v>
      </c>
      <c r="C729" s="84" t="s">
        <v>479</v>
      </c>
      <c r="D729" s="82" t="s">
        <v>478</v>
      </c>
      <c r="E729" s="83">
        <v>7898</v>
      </c>
      <c r="F729" s="83" t="s">
        <v>16</v>
      </c>
      <c r="G729" s="83" t="s">
        <v>97</v>
      </c>
      <c r="H729" s="83" t="s">
        <v>14</v>
      </c>
      <c r="I729" s="83" t="s">
        <v>281</v>
      </c>
      <c r="J729" s="83">
        <v>80</v>
      </c>
      <c r="K729" s="84"/>
      <c r="L729" s="83" t="s">
        <v>26</v>
      </c>
      <c r="M729" s="83" t="s">
        <v>216</v>
      </c>
      <c r="N729" s="85">
        <v>45969</v>
      </c>
      <c r="O729" s="86" t="s">
        <v>25</v>
      </c>
      <c r="P729" s="85" t="s">
        <v>20</v>
      </c>
      <c r="Q729" s="91">
        <v>243854410292</v>
      </c>
      <c r="R729" s="87"/>
      <c r="S729" s="30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</row>
    <row r="730" spans="2:37" ht="16.2" x14ac:dyDescent="0.3">
      <c r="B730" s="80">
        <v>722</v>
      </c>
      <c r="C730" s="84" t="s">
        <v>1143</v>
      </c>
      <c r="D730" s="82" t="s">
        <v>1144</v>
      </c>
      <c r="E730" s="83">
        <v>7899</v>
      </c>
      <c r="F730" s="83" t="s">
        <v>16</v>
      </c>
      <c r="G730" s="83" t="s">
        <v>150</v>
      </c>
      <c r="H730" s="83" t="s">
        <v>14</v>
      </c>
      <c r="I730" s="83" t="s">
        <v>13</v>
      </c>
      <c r="J730" s="83">
        <v>45</v>
      </c>
      <c r="K730" s="84"/>
      <c r="L730" s="83" t="s">
        <v>26</v>
      </c>
      <c r="M730" s="83" t="s">
        <v>216</v>
      </c>
      <c r="N730" s="85">
        <v>45969</v>
      </c>
      <c r="O730" s="86" t="s">
        <v>10</v>
      </c>
      <c r="P730" s="85" t="s">
        <v>20</v>
      </c>
      <c r="Q730" s="91">
        <v>854410292</v>
      </c>
      <c r="R730" s="87"/>
      <c r="S730" s="30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</row>
    <row r="731" spans="2:37" ht="16.2" customHeight="1" x14ac:dyDescent="0.3">
      <c r="B731" s="80">
        <v>723</v>
      </c>
      <c r="C731" s="84" t="s">
        <v>1145</v>
      </c>
      <c r="D731" s="82" t="s">
        <v>1146</v>
      </c>
      <c r="E731" s="83">
        <v>7900</v>
      </c>
      <c r="F731" s="84" t="s">
        <v>28</v>
      </c>
      <c r="G731" s="84" t="s">
        <v>83</v>
      </c>
      <c r="H731" s="84" t="s">
        <v>14</v>
      </c>
      <c r="I731" s="84" t="s">
        <v>13</v>
      </c>
      <c r="J731" s="84">
        <v>40</v>
      </c>
      <c r="K731" s="84"/>
      <c r="L731" s="84" t="s">
        <v>26</v>
      </c>
      <c r="M731" s="84" t="s">
        <v>216</v>
      </c>
      <c r="N731" s="85">
        <v>45969</v>
      </c>
      <c r="O731" s="86" t="s">
        <v>10</v>
      </c>
      <c r="P731" s="97" t="s">
        <v>9</v>
      </c>
      <c r="Q731" s="91">
        <v>854410292</v>
      </c>
      <c r="R731" s="91"/>
      <c r="S731" s="30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</row>
    <row r="732" spans="2:37" ht="16.2" customHeight="1" x14ac:dyDescent="0.3">
      <c r="B732" s="80">
        <v>724</v>
      </c>
      <c r="C732" s="84" t="s">
        <v>566</v>
      </c>
      <c r="D732" s="82" t="s">
        <v>565</v>
      </c>
      <c r="E732" s="83">
        <v>7901</v>
      </c>
      <c r="F732" s="84" t="s">
        <v>16</v>
      </c>
      <c r="G732" s="84" t="s">
        <v>15</v>
      </c>
      <c r="H732" s="84" t="s">
        <v>14</v>
      </c>
      <c r="I732" s="84" t="s">
        <v>13</v>
      </c>
      <c r="J732" s="84">
        <v>40</v>
      </c>
      <c r="K732" s="84"/>
      <c r="L732" s="84" t="s">
        <v>26</v>
      </c>
      <c r="M732" s="84" t="s">
        <v>216</v>
      </c>
      <c r="N732" s="85">
        <v>45969</v>
      </c>
      <c r="O732" s="86" t="s">
        <v>10</v>
      </c>
      <c r="P732" s="97" t="s">
        <v>9</v>
      </c>
      <c r="Q732" s="91">
        <v>854410292</v>
      </c>
      <c r="R732" s="91"/>
      <c r="S732" s="30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</row>
    <row r="733" spans="2:37" ht="16.2" customHeight="1" x14ac:dyDescent="0.3">
      <c r="B733" s="80">
        <v>725</v>
      </c>
      <c r="C733" s="84" t="s">
        <v>33</v>
      </c>
      <c r="D733" s="82" t="s">
        <v>32</v>
      </c>
      <c r="E733" s="83">
        <v>7902</v>
      </c>
      <c r="F733" s="84" t="s">
        <v>16</v>
      </c>
      <c r="G733" s="84" t="s">
        <v>31</v>
      </c>
      <c r="H733" s="84" t="s">
        <v>14</v>
      </c>
      <c r="I733" s="84" t="s">
        <v>281</v>
      </c>
      <c r="J733" s="84">
        <v>40</v>
      </c>
      <c r="K733" s="84"/>
      <c r="L733" s="84" t="s">
        <v>26</v>
      </c>
      <c r="M733" s="84" t="s">
        <v>216</v>
      </c>
      <c r="N733" s="85">
        <v>45969</v>
      </c>
      <c r="O733" s="86" t="s">
        <v>25</v>
      </c>
      <c r="P733" s="97" t="s">
        <v>20</v>
      </c>
      <c r="Q733" s="91">
        <v>897956248</v>
      </c>
      <c r="R733" s="91"/>
      <c r="S733" s="30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</row>
    <row r="734" spans="2:37" ht="16.2" x14ac:dyDescent="0.3">
      <c r="B734" s="80">
        <v>726</v>
      </c>
      <c r="C734" s="84" t="s">
        <v>1147</v>
      </c>
      <c r="D734" s="82" t="s">
        <v>1148</v>
      </c>
      <c r="E734" s="83">
        <v>7903</v>
      </c>
      <c r="F734" s="83" t="s">
        <v>16</v>
      </c>
      <c r="G734" s="84" t="s">
        <v>80</v>
      </c>
      <c r="H734" s="83" t="s">
        <v>14</v>
      </c>
      <c r="I734" s="83" t="s">
        <v>13</v>
      </c>
      <c r="J734" s="83">
        <v>40</v>
      </c>
      <c r="K734" s="84"/>
      <c r="L734" s="83" t="s">
        <v>26</v>
      </c>
      <c r="M734" s="83" t="s">
        <v>216</v>
      </c>
      <c r="N734" s="85">
        <v>45969</v>
      </c>
      <c r="O734" s="86" t="s">
        <v>10</v>
      </c>
      <c r="P734" s="85" t="s">
        <v>9</v>
      </c>
      <c r="Q734" s="91">
        <v>999555690</v>
      </c>
      <c r="R734" s="87"/>
      <c r="S734" s="30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</row>
    <row r="735" spans="2:37" ht="16.2" x14ac:dyDescent="0.3">
      <c r="B735" s="80">
        <v>727</v>
      </c>
      <c r="C735" s="84" t="s">
        <v>547</v>
      </c>
      <c r="D735" s="82" t="s">
        <v>546</v>
      </c>
      <c r="E735" s="83">
        <v>7905</v>
      </c>
      <c r="F735" s="83" t="s">
        <v>28</v>
      </c>
      <c r="G735" s="83" t="s">
        <v>127</v>
      </c>
      <c r="H735" s="83" t="s">
        <v>14</v>
      </c>
      <c r="I735" s="83" t="s">
        <v>13</v>
      </c>
      <c r="J735" s="83">
        <v>50</v>
      </c>
      <c r="K735" s="84"/>
      <c r="L735" s="83" t="s">
        <v>26</v>
      </c>
      <c r="M735" s="83" t="s">
        <v>216</v>
      </c>
      <c r="N735" s="85">
        <v>45969</v>
      </c>
      <c r="O735" s="86" t="s">
        <v>10</v>
      </c>
      <c r="P735" s="85" t="s">
        <v>20</v>
      </c>
      <c r="Q735" s="91">
        <v>976877731</v>
      </c>
      <c r="R735" s="87"/>
      <c r="S735" s="30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</row>
    <row r="736" spans="2:37" ht="16.2" x14ac:dyDescent="0.3">
      <c r="B736" s="80">
        <v>728</v>
      </c>
      <c r="C736" s="84" t="s">
        <v>1149</v>
      </c>
      <c r="D736" s="82" t="s">
        <v>1150</v>
      </c>
      <c r="E736" s="83">
        <v>7906</v>
      </c>
      <c r="F736" s="83" t="s">
        <v>16</v>
      </c>
      <c r="G736" s="83" t="s">
        <v>37</v>
      </c>
      <c r="H736" s="83" t="s">
        <v>14</v>
      </c>
      <c r="I736" s="83" t="s">
        <v>13</v>
      </c>
      <c r="J736" s="83">
        <v>45</v>
      </c>
      <c r="K736" s="84"/>
      <c r="L736" s="83" t="s">
        <v>26</v>
      </c>
      <c r="M736" s="83" t="s">
        <v>216</v>
      </c>
      <c r="N736" s="85">
        <v>45969</v>
      </c>
      <c r="O736" s="86" t="s">
        <v>10</v>
      </c>
      <c r="P736" s="85" t="s">
        <v>20</v>
      </c>
      <c r="Q736" s="91">
        <v>999477708</v>
      </c>
      <c r="R736" s="87"/>
      <c r="S736" s="30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</row>
    <row r="737" spans="2:37" ht="16.2" x14ac:dyDescent="0.3">
      <c r="B737" s="80">
        <v>729</v>
      </c>
      <c r="C737" s="84" t="s">
        <v>656</v>
      </c>
      <c r="D737" s="82" t="s">
        <v>655</v>
      </c>
      <c r="E737" s="83">
        <v>7907</v>
      </c>
      <c r="F737" s="83" t="s">
        <v>16</v>
      </c>
      <c r="G737" s="83" t="s">
        <v>50</v>
      </c>
      <c r="H737" s="83" t="s">
        <v>14</v>
      </c>
      <c r="I737" s="83" t="s">
        <v>13</v>
      </c>
      <c r="J737" s="83">
        <v>40</v>
      </c>
      <c r="K737" s="84"/>
      <c r="L737" s="83" t="s">
        <v>26</v>
      </c>
      <c r="M737" s="83" t="s">
        <v>216</v>
      </c>
      <c r="N737" s="85">
        <v>45969</v>
      </c>
      <c r="O737" s="86" t="s">
        <v>10</v>
      </c>
      <c r="P737" s="85" t="s">
        <v>9</v>
      </c>
      <c r="Q737" s="91" t="s">
        <v>1151</v>
      </c>
      <c r="R737" s="87"/>
      <c r="S737" s="30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</row>
    <row r="738" spans="2:37" ht="16.2" x14ac:dyDescent="0.3">
      <c r="B738" s="80">
        <v>730</v>
      </c>
      <c r="C738" s="84" t="s">
        <v>654</v>
      </c>
      <c r="D738" s="82" t="s">
        <v>653</v>
      </c>
      <c r="E738" s="83">
        <v>7908</v>
      </c>
      <c r="F738" s="83" t="s">
        <v>16</v>
      </c>
      <c r="G738" s="83" t="s">
        <v>40</v>
      </c>
      <c r="H738" s="83" t="s">
        <v>14</v>
      </c>
      <c r="I738" s="83" t="s">
        <v>13</v>
      </c>
      <c r="J738" s="83">
        <v>40</v>
      </c>
      <c r="K738" s="84"/>
      <c r="L738" s="83" t="s">
        <v>26</v>
      </c>
      <c r="M738" s="83" t="s">
        <v>216</v>
      </c>
      <c r="N738" s="85">
        <v>45969</v>
      </c>
      <c r="O738" s="86" t="s">
        <v>10</v>
      </c>
      <c r="P738" s="85" t="s">
        <v>0</v>
      </c>
      <c r="Q738" s="91">
        <v>850299786</v>
      </c>
      <c r="R738" s="87"/>
      <c r="S738" s="30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</row>
    <row r="739" spans="2:37" ht="16.2" x14ac:dyDescent="0.3">
      <c r="B739" s="80">
        <v>731</v>
      </c>
      <c r="C739" s="81" t="s">
        <v>90</v>
      </c>
      <c r="D739" s="82" t="s">
        <v>89</v>
      </c>
      <c r="E739" s="83">
        <v>7909</v>
      </c>
      <c r="F739" s="83" t="s">
        <v>28</v>
      </c>
      <c r="G739" s="83" t="s">
        <v>31</v>
      </c>
      <c r="H739" s="83" t="s">
        <v>14</v>
      </c>
      <c r="I739" s="83" t="s">
        <v>13</v>
      </c>
      <c r="J739" s="83">
        <v>45</v>
      </c>
      <c r="K739" s="84"/>
      <c r="L739" s="83" t="s">
        <v>26</v>
      </c>
      <c r="M739" s="83" t="s">
        <v>216</v>
      </c>
      <c r="N739" s="85">
        <v>45969</v>
      </c>
      <c r="O739" s="86" t="s">
        <v>25</v>
      </c>
      <c r="P739" s="85" t="s">
        <v>20</v>
      </c>
      <c r="Q739" s="91">
        <v>856123811</v>
      </c>
      <c r="R739" s="87"/>
      <c r="S739" s="30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</row>
    <row r="740" spans="2:37" ht="16.2" x14ac:dyDescent="0.3">
      <c r="B740" s="80">
        <v>732</v>
      </c>
      <c r="C740" s="84" t="s">
        <v>1152</v>
      </c>
      <c r="D740" s="82" t="s">
        <v>1153</v>
      </c>
      <c r="E740" s="83">
        <v>7910</v>
      </c>
      <c r="F740" s="83" t="s">
        <v>16</v>
      </c>
      <c r="G740" s="83" t="s">
        <v>37</v>
      </c>
      <c r="H740" s="83" t="s">
        <v>14</v>
      </c>
      <c r="I740" s="83" t="s">
        <v>13</v>
      </c>
      <c r="J740" s="83">
        <v>45</v>
      </c>
      <c r="K740" s="84"/>
      <c r="L740" s="83" t="s">
        <v>26</v>
      </c>
      <c r="M740" s="83" t="s">
        <v>60</v>
      </c>
      <c r="N740" s="85">
        <v>45971</v>
      </c>
      <c r="O740" s="86" t="s">
        <v>10</v>
      </c>
      <c r="P740" s="85" t="s">
        <v>20</v>
      </c>
      <c r="Q740" s="91">
        <v>970874334</v>
      </c>
      <c r="R740" s="87"/>
      <c r="S740" s="30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</row>
    <row r="741" spans="2:37" ht="16.2" x14ac:dyDescent="0.3">
      <c r="B741" s="80">
        <v>733</v>
      </c>
      <c r="C741" s="84" t="s">
        <v>597</v>
      </c>
      <c r="D741" s="82" t="s">
        <v>596</v>
      </c>
      <c r="E741" s="83">
        <v>7911</v>
      </c>
      <c r="F741" s="83" t="s">
        <v>28</v>
      </c>
      <c r="G741" s="83" t="s">
        <v>83</v>
      </c>
      <c r="H741" s="83" t="s">
        <v>14</v>
      </c>
      <c r="I741" s="83" t="s">
        <v>13</v>
      </c>
      <c r="J741" s="83">
        <v>40</v>
      </c>
      <c r="K741" s="84"/>
      <c r="L741" s="83" t="s">
        <v>26</v>
      </c>
      <c r="M741" s="83" t="s">
        <v>60</v>
      </c>
      <c r="N741" s="85">
        <v>45971</v>
      </c>
      <c r="O741" s="86" t="s">
        <v>10</v>
      </c>
      <c r="P741" s="85" t="s">
        <v>9</v>
      </c>
      <c r="Q741" s="91">
        <v>970932676</v>
      </c>
      <c r="R741" s="87"/>
      <c r="S741" s="30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</row>
    <row r="742" spans="2:37" ht="16.2" x14ac:dyDescent="0.3">
      <c r="B742" s="80">
        <v>734</v>
      </c>
      <c r="C742" s="84" t="s">
        <v>601</v>
      </c>
      <c r="D742" s="82" t="s">
        <v>600</v>
      </c>
      <c r="E742" s="83">
        <v>7912</v>
      </c>
      <c r="F742" s="83" t="s">
        <v>16</v>
      </c>
      <c r="G742" s="83" t="s">
        <v>50</v>
      </c>
      <c r="H742" s="83" t="s">
        <v>14</v>
      </c>
      <c r="I742" s="83" t="s">
        <v>13</v>
      </c>
      <c r="J742" s="83">
        <v>40</v>
      </c>
      <c r="K742" s="84"/>
      <c r="L742" s="83" t="s">
        <v>26</v>
      </c>
      <c r="M742" s="83" t="s">
        <v>60</v>
      </c>
      <c r="N742" s="85">
        <v>45971</v>
      </c>
      <c r="O742" s="86" t="s">
        <v>10</v>
      </c>
      <c r="P742" s="85" t="s">
        <v>9</v>
      </c>
      <c r="Q742" s="91">
        <v>970932676</v>
      </c>
      <c r="R742" s="87"/>
      <c r="S742" s="30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</row>
    <row r="743" spans="2:37" ht="16.2" x14ac:dyDescent="0.3">
      <c r="B743" s="80">
        <v>735</v>
      </c>
      <c r="C743" s="84" t="s">
        <v>603</v>
      </c>
      <c r="D743" s="82" t="s">
        <v>602</v>
      </c>
      <c r="E743" s="83">
        <v>7913</v>
      </c>
      <c r="F743" s="83" t="s">
        <v>16</v>
      </c>
      <c r="G743" s="83" t="s">
        <v>77</v>
      </c>
      <c r="H743" s="83" t="s">
        <v>14</v>
      </c>
      <c r="I743" s="83" t="s">
        <v>13</v>
      </c>
      <c r="J743" s="83">
        <v>45</v>
      </c>
      <c r="K743" s="84"/>
      <c r="L743" s="83" t="s">
        <v>26</v>
      </c>
      <c r="M743" s="83" t="s">
        <v>60</v>
      </c>
      <c r="N743" s="85">
        <v>45971</v>
      </c>
      <c r="O743" s="86" t="s">
        <v>10</v>
      </c>
      <c r="P743" s="85" t="s">
        <v>0</v>
      </c>
      <c r="Q743" s="91">
        <v>970932676</v>
      </c>
      <c r="R743" s="87"/>
      <c r="S743" s="30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</row>
    <row r="744" spans="2:37" ht="16.2" x14ac:dyDescent="0.3">
      <c r="B744" s="80">
        <v>736</v>
      </c>
      <c r="C744" s="84" t="s">
        <v>749</v>
      </c>
      <c r="D744" s="82" t="s">
        <v>748</v>
      </c>
      <c r="E744" s="83">
        <v>7918</v>
      </c>
      <c r="F744" s="83" t="s">
        <v>16</v>
      </c>
      <c r="G744" s="84" t="s">
        <v>31</v>
      </c>
      <c r="H744" s="83" t="s">
        <v>14</v>
      </c>
      <c r="I744" s="83" t="s">
        <v>281</v>
      </c>
      <c r="J744" s="83">
        <v>32.76</v>
      </c>
      <c r="K744" s="84"/>
      <c r="L744" s="83" t="s">
        <v>12</v>
      </c>
      <c r="M744" s="83" t="s">
        <v>60</v>
      </c>
      <c r="N744" s="85">
        <v>45971</v>
      </c>
      <c r="O744" s="86" t="s">
        <v>25</v>
      </c>
      <c r="P744" s="85" t="s">
        <v>20</v>
      </c>
      <c r="Q744" s="91">
        <v>999820231</v>
      </c>
      <c r="R744" s="87"/>
      <c r="S744" s="30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</row>
    <row r="745" spans="2:37" ht="16.2" x14ac:dyDescent="0.3">
      <c r="B745" s="80">
        <v>737</v>
      </c>
      <c r="C745" s="84" t="s">
        <v>334</v>
      </c>
      <c r="D745" s="82" t="s">
        <v>333</v>
      </c>
      <c r="E745" s="83">
        <v>7919</v>
      </c>
      <c r="F745" s="83" t="s">
        <v>16</v>
      </c>
      <c r="G745" s="83" t="s">
        <v>140</v>
      </c>
      <c r="H745" s="83" t="s">
        <v>14</v>
      </c>
      <c r="I745" s="83" t="s">
        <v>13</v>
      </c>
      <c r="J745" s="83">
        <v>55</v>
      </c>
      <c r="K745" s="83"/>
      <c r="L745" s="83" t="s">
        <v>12</v>
      </c>
      <c r="M745" s="83" t="s">
        <v>60</v>
      </c>
      <c r="N745" s="85">
        <v>45971</v>
      </c>
      <c r="O745" s="86" t="s">
        <v>25</v>
      </c>
      <c r="P745" s="85" t="s">
        <v>20</v>
      </c>
      <c r="Q745" s="91">
        <v>893678116</v>
      </c>
      <c r="R745" s="87"/>
      <c r="S745" s="30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</row>
    <row r="746" spans="2:37" ht="16.2" x14ac:dyDescent="0.3">
      <c r="B746" s="80">
        <v>738</v>
      </c>
      <c r="C746" s="84" t="s">
        <v>1078</v>
      </c>
      <c r="D746" s="82" t="s">
        <v>1079</v>
      </c>
      <c r="E746" s="83">
        <v>7920</v>
      </c>
      <c r="F746" s="83" t="s">
        <v>16</v>
      </c>
      <c r="G746" s="84" t="s">
        <v>161</v>
      </c>
      <c r="H746" s="83" t="s">
        <v>14</v>
      </c>
      <c r="I746" s="83" t="s">
        <v>1059</v>
      </c>
      <c r="J746" s="83">
        <v>50</v>
      </c>
      <c r="K746" s="84"/>
      <c r="L746" s="83" t="s">
        <v>26</v>
      </c>
      <c r="M746" s="83" t="s">
        <v>60</v>
      </c>
      <c r="N746" s="85">
        <v>45971</v>
      </c>
      <c r="O746" s="86" t="s">
        <v>25</v>
      </c>
      <c r="P746" s="85" t="s">
        <v>20</v>
      </c>
      <c r="Q746" s="91">
        <v>234815460225</v>
      </c>
      <c r="R746" s="87"/>
      <c r="S746" s="30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</row>
    <row r="747" spans="2:37" ht="16.2" x14ac:dyDescent="0.3">
      <c r="B747" s="80">
        <v>739</v>
      </c>
      <c r="C747" s="84" t="s">
        <v>166</v>
      </c>
      <c r="D747" s="82" t="s">
        <v>165</v>
      </c>
      <c r="E747" s="83">
        <v>7921</v>
      </c>
      <c r="F747" s="83" t="s">
        <v>28</v>
      </c>
      <c r="G747" s="83" t="s">
        <v>164</v>
      </c>
      <c r="H747" s="83" t="s">
        <v>14</v>
      </c>
      <c r="I747" s="83" t="s">
        <v>281</v>
      </c>
      <c r="J747" s="83">
        <v>50</v>
      </c>
      <c r="K747" s="83"/>
      <c r="L747" s="83" t="s">
        <v>12</v>
      </c>
      <c r="M747" s="83" t="s">
        <v>60</v>
      </c>
      <c r="N747" s="85">
        <v>45971</v>
      </c>
      <c r="O747" s="86" t="s">
        <v>25</v>
      </c>
      <c r="P747" s="85" t="s">
        <v>20</v>
      </c>
      <c r="Q747" s="91">
        <v>977097926</v>
      </c>
      <c r="R747" s="87"/>
      <c r="S747" s="30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</row>
    <row r="748" spans="2:37" ht="16.2" customHeight="1" x14ac:dyDescent="0.3">
      <c r="B748" s="80">
        <v>740</v>
      </c>
      <c r="C748" s="84" t="s">
        <v>487</v>
      </c>
      <c r="D748" s="82" t="s">
        <v>486</v>
      </c>
      <c r="E748" s="83">
        <v>7922</v>
      </c>
      <c r="F748" s="83" t="s">
        <v>16</v>
      </c>
      <c r="G748" s="83" t="s">
        <v>133</v>
      </c>
      <c r="H748" s="83" t="s">
        <v>14</v>
      </c>
      <c r="I748" s="83" t="s">
        <v>13</v>
      </c>
      <c r="J748" s="83">
        <v>40</v>
      </c>
      <c r="K748" s="83"/>
      <c r="L748" s="83" t="s">
        <v>12</v>
      </c>
      <c r="M748" s="83" t="s">
        <v>60</v>
      </c>
      <c r="N748" s="85">
        <v>45971</v>
      </c>
      <c r="O748" s="86" t="s">
        <v>10</v>
      </c>
      <c r="P748" s="85" t="s">
        <v>9</v>
      </c>
      <c r="Q748" s="91">
        <v>810573328</v>
      </c>
      <c r="R748" s="87"/>
      <c r="S748" s="30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</row>
    <row r="749" spans="2:37" ht="16.2" customHeight="1" x14ac:dyDescent="0.3">
      <c r="B749" s="80">
        <v>741</v>
      </c>
      <c r="C749" s="84" t="s">
        <v>483</v>
      </c>
      <c r="D749" s="82" t="s">
        <v>482</v>
      </c>
      <c r="E749" s="83">
        <v>7923</v>
      </c>
      <c r="F749" s="83" t="s">
        <v>28</v>
      </c>
      <c r="G749" s="83" t="s">
        <v>37</v>
      </c>
      <c r="H749" s="83" t="s">
        <v>14</v>
      </c>
      <c r="I749" s="83" t="s">
        <v>13</v>
      </c>
      <c r="J749" s="83">
        <v>45</v>
      </c>
      <c r="K749" s="83"/>
      <c r="L749" s="83" t="s">
        <v>12</v>
      </c>
      <c r="M749" s="83" t="s">
        <v>60</v>
      </c>
      <c r="N749" s="85">
        <v>45971</v>
      </c>
      <c r="O749" s="86" t="s">
        <v>10</v>
      </c>
      <c r="P749" s="85" t="s">
        <v>20</v>
      </c>
      <c r="Q749" s="91">
        <v>810573328</v>
      </c>
      <c r="R749" s="87"/>
      <c r="S749" s="30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</row>
    <row r="750" spans="2:37" ht="16.2" customHeight="1" x14ac:dyDescent="0.3">
      <c r="B750" s="80">
        <v>742</v>
      </c>
      <c r="C750" s="84" t="s">
        <v>485</v>
      </c>
      <c r="D750" s="82" t="s">
        <v>484</v>
      </c>
      <c r="E750" s="83">
        <v>7924</v>
      </c>
      <c r="F750" s="83" t="s">
        <v>16</v>
      </c>
      <c r="G750" s="83" t="s">
        <v>22</v>
      </c>
      <c r="H750" s="83" t="s">
        <v>14</v>
      </c>
      <c r="I750" s="83" t="s">
        <v>13</v>
      </c>
      <c r="J750" s="83">
        <v>45</v>
      </c>
      <c r="K750" s="83"/>
      <c r="L750" s="83" t="s">
        <v>12</v>
      </c>
      <c r="M750" s="83" t="s">
        <v>60</v>
      </c>
      <c r="N750" s="85">
        <v>45971</v>
      </c>
      <c r="O750" s="86" t="s">
        <v>10</v>
      </c>
      <c r="P750" s="85" t="s">
        <v>20</v>
      </c>
      <c r="Q750" s="91">
        <v>810573328</v>
      </c>
      <c r="R750" s="87"/>
      <c r="S750" s="30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</row>
    <row r="751" spans="2:37" ht="16.2" customHeight="1" x14ac:dyDescent="0.3">
      <c r="B751" s="80">
        <v>743</v>
      </c>
      <c r="C751" s="84" t="s">
        <v>245</v>
      </c>
      <c r="D751" s="82" t="s">
        <v>244</v>
      </c>
      <c r="E751" s="83">
        <v>7925</v>
      </c>
      <c r="F751" s="83" t="s">
        <v>28</v>
      </c>
      <c r="G751" s="83" t="s">
        <v>100</v>
      </c>
      <c r="H751" s="83" t="s">
        <v>14</v>
      </c>
      <c r="I751" s="83" t="s">
        <v>13</v>
      </c>
      <c r="J751" s="83">
        <v>55</v>
      </c>
      <c r="K751" s="83"/>
      <c r="L751" s="83" t="s">
        <v>26</v>
      </c>
      <c r="M751" s="83" t="s">
        <v>60</v>
      </c>
      <c r="N751" s="85">
        <v>45971</v>
      </c>
      <c r="O751" s="86" t="s">
        <v>10</v>
      </c>
      <c r="P751" s="85" t="s">
        <v>20</v>
      </c>
      <c r="Q751" s="91">
        <v>818152974</v>
      </c>
      <c r="R751" s="87"/>
      <c r="S751" s="30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</row>
    <row r="752" spans="2:37" ht="16.2" customHeight="1" x14ac:dyDescent="0.3">
      <c r="B752" s="80">
        <v>744</v>
      </c>
      <c r="C752" s="84" t="s">
        <v>1154</v>
      </c>
      <c r="D752" s="82" t="s">
        <v>1155</v>
      </c>
      <c r="E752" s="83">
        <v>7927</v>
      </c>
      <c r="F752" s="83" t="s">
        <v>16</v>
      </c>
      <c r="G752" s="84" t="s">
        <v>185</v>
      </c>
      <c r="H752" s="83" t="s">
        <v>14</v>
      </c>
      <c r="I752" s="83" t="s">
        <v>13</v>
      </c>
      <c r="J752" s="83">
        <v>55</v>
      </c>
      <c r="K752" s="83"/>
      <c r="L752" s="83" t="s">
        <v>26</v>
      </c>
      <c r="M752" s="83" t="s">
        <v>60</v>
      </c>
      <c r="N752" s="85">
        <v>45971</v>
      </c>
      <c r="O752" s="86" t="s">
        <v>10</v>
      </c>
      <c r="P752" s="85" t="s">
        <v>20</v>
      </c>
      <c r="Q752" s="91">
        <v>999341065</v>
      </c>
      <c r="R752" s="87"/>
      <c r="S752" s="30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</row>
    <row r="753" spans="2:37" ht="16.2" customHeight="1" x14ac:dyDescent="0.3">
      <c r="B753" s="80">
        <v>745</v>
      </c>
      <c r="C753" s="84" t="s">
        <v>1156</v>
      </c>
      <c r="D753" s="82" t="s">
        <v>1157</v>
      </c>
      <c r="E753" s="83">
        <v>7928</v>
      </c>
      <c r="F753" s="83" t="s">
        <v>16</v>
      </c>
      <c r="G753" s="83" t="s">
        <v>37</v>
      </c>
      <c r="H753" s="83" t="s">
        <v>14</v>
      </c>
      <c r="I753" s="83" t="s">
        <v>13</v>
      </c>
      <c r="J753" s="83">
        <v>45</v>
      </c>
      <c r="K753" s="83"/>
      <c r="L753" s="83" t="s">
        <v>26</v>
      </c>
      <c r="M753" s="83" t="s">
        <v>60</v>
      </c>
      <c r="N753" s="85">
        <v>45971</v>
      </c>
      <c r="O753" s="86" t="s">
        <v>10</v>
      </c>
      <c r="P753" s="85" t="s">
        <v>20</v>
      </c>
      <c r="Q753" s="91">
        <v>999341065</v>
      </c>
      <c r="R753" s="87"/>
      <c r="S753" s="30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</row>
    <row r="754" spans="2:37" ht="16.2" x14ac:dyDescent="0.3">
      <c r="B754" s="80">
        <v>746</v>
      </c>
      <c r="C754" s="84" t="s">
        <v>264</v>
      </c>
      <c r="D754" s="82" t="s">
        <v>263</v>
      </c>
      <c r="E754" s="83">
        <v>7929</v>
      </c>
      <c r="F754" s="84" t="s">
        <v>16</v>
      </c>
      <c r="G754" s="84" t="s">
        <v>146</v>
      </c>
      <c r="H754" s="84" t="s">
        <v>14</v>
      </c>
      <c r="I754" s="84" t="s">
        <v>13</v>
      </c>
      <c r="J754" s="84">
        <v>55</v>
      </c>
      <c r="K754" s="84"/>
      <c r="L754" s="84" t="s">
        <v>12</v>
      </c>
      <c r="M754" s="84" t="s">
        <v>60</v>
      </c>
      <c r="N754" s="85">
        <v>45971</v>
      </c>
      <c r="O754" s="86" t="s">
        <v>10</v>
      </c>
      <c r="P754" s="97" t="s">
        <v>20</v>
      </c>
      <c r="Q754" s="91">
        <v>850921827</v>
      </c>
      <c r="R754" s="91"/>
      <c r="S754" s="30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</row>
    <row r="755" spans="2:37" ht="16.2" x14ac:dyDescent="0.3">
      <c r="B755" s="80">
        <v>747</v>
      </c>
      <c r="C755" s="84" t="s">
        <v>298</v>
      </c>
      <c r="D755" s="82" t="s">
        <v>297</v>
      </c>
      <c r="E755" s="83">
        <v>7930</v>
      </c>
      <c r="F755" s="84" t="s">
        <v>28</v>
      </c>
      <c r="G755" s="84" t="s">
        <v>83</v>
      </c>
      <c r="H755" s="84" t="s">
        <v>14</v>
      </c>
      <c r="I755" s="84" t="s">
        <v>13</v>
      </c>
      <c r="J755" s="84">
        <v>40</v>
      </c>
      <c r="K755" s="84"/>
      <c r="L755" s="84" t="s">
        <v>12</v>
      </c>
      <c r="M755" s="84" t="s">
        <v>60</v>
      </c>
      <c r="N755" s="85">
        <v>45971</v>
      </c>
      <c r="O755" s="86" t="s">
        <v>10</v>
      </c>
      <c r="P755" s="97" t="s">
        <v>9</v>
      </c>
      <c r="Q755" s="91">
        <v>977767421</v>
      </c>
      <c r="R755" s="91"/>
      <c r="S755" s="30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</row>
    <row r="756" spans="2:37" ht="16.2" x14ac:dyDescent="0.3">
      <c r="B756" s="80">
        <v>748</v>
      </c>
      <c r="C756" s="84" t="s">
        <v>1158</v>
      </c>
      <c r="D756" s="82" t="s">
        <v>1159</v>
      </c>
      <c r="E756" s="83">
        <v>7926</v>
      </c>
      <c r="F756" s="84" t="s">
        <v>16</v>
      </c>
      <c r="G756" s="84" t="s">
        <v>22</v>
      </c>
      <c r="H756" s="84" t="s">
        <v>14</v>
      </c>
      <c r="I756" s="84" t="s">
        <v>281</v>
      </c>
      <c r="J756" s="84">
        <v>40</v>
      </c>
      <c r="K756" s="84"/>
      <c r="L756" s="84" t="s">
        <v>26</v>
      </c>
      <c r="M756" s="84" t="s">
        <v>60</v>
      </c>
      <c r="N756" s="85">
        <v>45971</v>
      </c>
      <c r="O756" s="86" t="s">
        <v>10</v>
      </c>
      <c r="P756" s="97" t="s">
        <v>20</v>
      </c>
      <c r="Q756" s="91">
        <v>991448596</v>
      </c>
      <c r="R756" s="91"/>
      <c r="S756" s="30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</row>
    <row r="757" spans="2:37" ht="16.2" customHeight="1" x14ac:dyDescent="0.3">
      <c r="B757" s="80">
        <v>749</v>
      </c>
      <c r="C757" s="84" t="s">
        <v>62</v>
      </c>
      <c r="D757" s="82" t="s">
        <v>61</v>
      </c>
      <c r="E757" s="83">
        <v>7931</v>
      </c>
      <c r="F757" s="84" t="s">
        <v>28</v>
      </c>
      <c r="G757" s="84" t="s">
        <v>27</v>
      </c>
      <c r="H757" s="84" t="s">
        <v>14</v>
      </c>
      <c r="I757" s="84" t="s">
        <v>13</v>
      </c>
      <c r="J757" s="84">
        <v>55</v>
      </c>
      <c r="K757" s="84"/>
      <c r="L757" s="84" t="s">
        <v>26</v>
      </c>
      <c r="M757" s="84" t="s">
        <v>60</v>
      </c>
      <c r="N757" s="85">
        <v>45971</v>
      </c>
      <c r="O757" s="86" t="s">
        <v>25</v>
      </c>
      <c r="P757" s="97" t="s">
        <v>20</v>
      </c>
      <c r="Q757" s="91">
        <v>990134571</v>
      </c>
      <c r="R757" s="91"/>
      <c r="S757" s="30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</row>
    <row r="758" spans="2:37" ht="16.2" customHeight="1" x14ac:dyDescent="0.3">
      <c r="B758" s="80">
        <v>750</v>
      </c>
      <c r="C758" s="84" t="s">
        <v>509</v>
      </c>
      <c r="D758" s="82" t="s">
        <v>508</v>
      </c>
      <c r="E758" s="83">
        <v>7932</v>
      </c>
      <c r="F758" s="84" t="s">
        <v>16</v>
      </c>
      <c r="G758" s="84" t="s">
        <v>37</v>
      </c>
      <c r="H758" s="84" t="s">
        <v>14</v>
      </c>
      <c r="I758" s="84" t="s">
        <v>13</v>
      </c>
      <c r="J758" s="84">
        <v>45</v>
      </c>
      <c r="K758" s="84"/>
      <c r="L758" s="84" t="s">
        <v>26</v>
      </c>
      <c r="M758" s="84" t="s">
        <v>60</v>
      </c>
      <c r="N758" s="85">
        <v>45971</v>
      </c>
      <c r="O758" s="86" t="s">
        <v>10</v>
      </c>
      <c r="P758" s="97" t="s">
        <v>20</v>
      </c>
      <c r="Q758" s="91">
        <v>990134571</v>
      </c>
      <c r="R758" s="91"/>
      <c r="S758" s="30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</row>
    <row r="759" spans="2:37" ht="16.2" customHeight="1" x14ac:dyDescent="0.3">
      <c r="B759" s="80">
        <v>751</v>
      </c>
      <c r="C759" s="84" t="s">
        <v>436</v>
      </c>
      <c r="D759" s="82" t="s">
        <v>435</v>
      </c>
      <c r="E759" s="83">
        <v>7933</v>
      </c>
      <c r="F759" s="84" t="s">
        <v>16</v>
      </c>
      <c r="G759" s="84" t="s">
        <v>65</v>
      </c>
      <c r="H759" s="84" t="s">
        <v>14</v>
      </c>
      <c r="I759" s="84" t="s">
        <v>13</v>
      </c>
      <c r="J759" s="84">
        <v>45</v>
      </c>
      <c r="K759" s="84"/>
      <c r="L759" s="84" t="s">
        <v>12</v>
      </c>
      <c r="M759" s="84" t="s">
        <v>60</v>
      </c>
      <c r="N759" s="85">
        <v>45971</v>
      </c>
      <c r="O759" s="86" t="s">
        <v>25</v>
      </c>
      <c r="P759" s="97" t="s">
        <v>20</v>
      </c>
      <c r="Q759" s="91">
        <v>902666303</v>
      </c>
      <c r="R759" s="91"/>
      <c r="S759" s="30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</row>
    <row r="760" spans="2:37" ht="16.2" customHeight="1" x14ac:dyDescent="0.3">
      <c r="B760" s="80">
        <v>752</v>
      </c>
      <c r="C760" s="84" t="s">
        <v>440</v>
      </c>
      <c r="D760" s="82" t="s">
        <v>439</v>
      </c>
      <c r="E760" s="83">
        <v>7934</v>
      </c>
      <c r="F760" s="83" t="s">
        <v>16</v>
      </c>
      <c r="G760" s="84" t="s">
        <v>113</v>
      </c>
      <c r="H760" s="83" t="s">
        <v>14</v>
      </c>
      <c r="I760" s="83" t="s">
        <v>13</v>
      </c>
      <c r="J760" s="83">
        <v>45</v>
      </c>
      <c r="K760" s="84"/>
      <c r="L760" s="83" t="s">
        <v>12</v>
      </c>
      <c r="M760" s="83" t="s">
        <v>60</v>
      </c>
      <c r="N760" s="85">
        <v>45971</v>
      </c>
      <c r="O760" s="86" t="s">
        <v>10</v>
      </c>
      <c r="P760" s="85" t="s">
        <v>20</v>
      </c>
      <c r="Q760" s="91">
        <v>902666303</v>
      </c>
      <c r="R760" s="87"/>
      <c r="S760" s="30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</row>
    <row r="761" spans="2:37" ht="16.2" customHeight="1" x14ac:dyDescent="0.3">
      <c r="B761" s="80">
        <v>753</v>
      </c>
      <c r="C761" s="84" t="s">
        <v>438</v>
      </c>
      <c r="D761" s="82" t="s">
        <v>437</v>
      </c>
      <c r="E761" s="83">
        <v>7935</v>
      </c>
      <c r="F761" s="83" t="s">
        <v>16</v>
      </c>
      <c r="G761" s="83" t="s">
        <v>164</v>
      </c>
      <c r="H761" s="83" t="s">
        <v>14</v>
      </c>
      <c r="I761" s="83" t="s">
        <v>103</v>
      </c>
      <c r="J761" s="83">
        <v>40</v>
      </c>
      <c r="K761" s="84"/>
      <c r="L761" s="83" t="s">
        <v>12</v>
      </c>
      <c r="M761" s="83" t="s">
        <v>60</v>
      </c>
      <c r="N761" s="85">
        <v>45971</v>
      </c>
      <c r="O761" s="86" t="s">
        <v>25</v>
      </c>
      <c r="P761" s="85" t="s">
        <v>20</v>
      </c>
      <c r="Q761" s="91">
        <v>902666303</v>
      </c>
      <c r="R761" s="87"/>
      <c r="S761" s="30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</row>
    <row r="762" spans="2:37" ht="16.2" customHeight="1" x14ac:dyDescent="0.3">
      <c r="B762" s="80">
        <v>754</v>
      </c>
      <c r="C762" s="84" t="s">
        <v>438</v>
      </c>
      <c r="D762" s="82" t="s">
        <v>437</v>
      </c>
      <c r="E762" s="83">
        <v>7936</v>
      </c>
      <c r="F762" s="83" t="s">
        <v>16</v>
      </c>
      <c r="G762" s="83" t="s">
        <v>164</v>
      </c>
      <c r="H762" s="83" t="s">
        <v>14</v>
      </c>
      <c r="I762" s="83" t="s">
        <v>13</v>
      </c>
      <c r="J762" s="83">
        <v>100</v>
      </c>
      <c r="K762" s="84"/>
      <c r="L762" s="83" t="s">
        <v>12</v>
      </c>
      <c r="M762" s="83" t="s">
        <v>60</v>
      </c>
      <c r="N762" s="85">
        <v>45971</v>
      </c>
      <c r="O762" s="86" t="s">
        <v>25</v>
      </c>
      <c r="P762" s="85" t="s">
        <v>20</v>
      </c>
      <c r="Q762" s="91">
        <v>902666303</v>
      </c>
      <c r="R762" s="87"/>
      <c r="S762" s="30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</row>
    <row r="763" spans="2:37" ht="16.2" x14ac:dyDescent="0.3">
      <c r="B763" s="80">
        <v>755</v>
      </c>
      <c r="C763" s="84" t="s">
        <v>311</v>
      </c>
      <c r="D763" s="82" t="s">
        <v>310</v>
      </c>
      <c r="E763" s="83">
        <v>7937</v>
      </c>
      <c r="F763" s="83" t="s">
        <v>16</v>
      </c>
      <c r="G763" s="84" t="s">
        <v>65</v>
      </c>
      <c r="H763" s="83" t="s">
        <v>14</v>
      </c>
      <c r="I763" s="83" t="s">
        <v>21</v>
      </c>
      <c r="J763" s="83">
        <v>45</v>
      </c>
      <c r="K763" s="84"/>
      <c r="L763" s="83" t="s">
        <v>12</v>
      </c>
      <c r="M763" s="83" t="s">
        <v>60</v>
      </c>
      <c r="N763" s="85">
        <v>45971</v>
      </c>
      <c r="O763" s="86" t="s">
        <v>10</v>
      </c>
      <c r="P763" s="85" t="s">
        <v>20</v>
      </c>
      <c r="Q763" s="91" t="s">
        <v>309</v>
      </c>
      <c r="R763" s="87"/>
      <c r="S763" s="30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</row>
    <row r="764" spans="2:37" ht="16.2" x14ac:dyDescent="0.3">
      <c r="B764" s="80">
        <v>756</v>
      </c>
      <c r="C764" s="84" t="s">
        <v>313</v>
      </c>
      <c r="D764" s="82" t="s">
        <v>312</v>
      </c>
      <c r="E764" s="83">
        <v>7938</v>
      </c>
      <c r="F764" s="83" t="s">
        <v>16</v>
      </c>
      <c r="G764" s="83" t="s">
        <v>97</v>
      </c>
      <c r="H764" s="83" t="s">
        <v>14</v>
      </c>
      <c r="I764" s="83" t="s">
        <v>785</v>
      </c>
      <c r="J764" s="83">
        <v>80</v>
      </c>
      <c r="K764" s="84"/>
      <c r="L764" s="83" t="s">
        <v>12</v>
      </c>
      <c r="M764" s="83" t="s">
        <v>60</v>
      </c>
      <c r="N764" s="85">
        <v>45971</v>
      </c>
      <c r="O764" s="86" t="s">
        <v>25</v>
      </c>
      <c r="P764" s="85" t="s">
        <v>20</v>
      </c>
      <c r="Q764" s="91">
        <v>997774746</v>
      </c>
      <c r="R764" s="87"/>
      <c r="S764" s="30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</row>
    <row r="765" spans="2:37" ht="16.2" x14ac:dyDescent="0.3">
      <c r="B765" s="80">
        <v>757</v>
      </c>
      <c r="C765" s="84" t="s">
        <v>360</v>
      </c>
      <c r="D765" s="82" t="s">
        <v>359</v>
      </c>
      <c r="E765" s="83">
        <v>7939</v>
      </c>
      <c r="F765" s="83" t="s">
        <v>28</v>
      </c>
      <c r="G765" s="83" t="s">
        <v>127</v>
      </c>
      <c r="H765" s="83" t="s">
        <v>14</v>
      </c>
      <c r="I765" s="83" t="s">
        <v>103</v>
      </c>
      <c r="J765" s="83">
        <v>5</v>
      </c>
      <c r="K765" s="84"/>
      <c r="L765" s="83" t="s">
        <v>26</v>
      </c>
      <c r="M765" s="83" t="s">
        <v>60</v>
      </c>
      <c r="N765" s="85">
        <v>45971</v>
      </c>
      <c r="O765" s="86" t="s">
        <v>10</v>
      </c>
      <c r="P765" s="85" t="s">
        <v>20</v>
      </c>
      <c r="Q765" s="91">
        <v>814661612</v>
      </c>
      <c r="R765" s="87"/>
      <c r="S765" s="30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</row>
    <row r="766" spans="2:37" ht="16.2" x14ac:dyDescent="0.3">
      <c r="B766" s="80">
        <v>758</v>
      </c>
      <c r="C766" s="84" t="s">
        <v>910</v>
      </c>
      <c r="D766" s="82" t="s">
        <v>911</v>
      </c>
      <c r="E766" s="83">
        <v>7941</v>
      </c>
      <c r="F766" s="83" t="s">
        <v>16</v>
      </c>
      <c r="G766" s="83" t="s">
        <v>912</v>
      </c>
      <c r="H766" s="83" t="s">
        <v>14</v>
      </c>
      <c r="I766" s="83" t="s">
        <v>103</v>
      </c>
      <c r="J766" s="83">
        <v>10.38</v>
      </c>
      <c r="K766" s="84"/>
      <c r="L766" s="83" t="s">
        <v>26</v>
      </c>
      <c r="M766" s="83" t="s">
        <v>60</v>
      </c>
      <c r="N766" s="85">
        <v>45971</v>
      </c>
      <c r="O766" s="86" t="s">
        <v>25</v>
      </c>
      <c r="P766" s="85" t="s">
        <v>20</v>
      </c>
      <c r="Q766" s="91">
        <v>998670888</v>
      </c>
      <c r="R766" s="87"/>
      <c r="S766" s="30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</row>
    <row r="767" spans="2:37" ht="16.2" x14ac:dyDescent="0.3">
      <c r="B767" s="80">
        <v>759</v>
      </c>
      <c r="C767" s="84" t="s">
        <v>910</v>
      </c>
      <c r="D767" s="82" t="s">
        <v>911</v>
      </c>
      <c r="E767" s="83">
        <v>7942</v>
      </c>
      <c r="F767" s="83" t="s">
        <v>16</v>
      </c>
      <c r="G767" s="83" t="s">
        <v>912</v>
      </c>
      <c r="H767" s="83" t="s">
        <v>14</v>
      </c>
      <c r="I767" s="83" t="s">
        <v>281</v>
      </c>
      <c r="J767" s="83">
        <v>39.619999999999997</v>
      </c>
      <c r="K767" s="84"/>
      <c r="L767" s="83" t="s">
        <v>26</v>
      </c>
      <c r="M767" s="83" t="s">
        <v>60</v>
      </c>
      <c r="N767" s="85">
        <v>45971</v>
      </c>
      <c r="O767" s="86" t="s">
        <v>25</v>
      </c>
      <c r="P767" s="85" t="s">
        <v>20</v>
      </c>
      <c r="Q767" s="91">
        <v>998670888</v>
      </c>
      <c r="R767" s="87"/>
      <c r="S767" s="30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</row>
    <row r="768" spans="2:37" ht="16.2" x14ac:dyDescent="0.3">
      <c r="B768" s="80">
        <v>760</v>
      </c>
      <c r="C768" s="84" t="s">
        <v>400</v>
      </c>
      <c r="D768" s="82" t="s">
        <v>399</v>
      </c>
      <c r="E768" s="83">
        <v>7943</v>
      </c>
      <c r="F768" s="83" t="s">
        <v>16</v>
      </c>
      <c r="G768" s="83" t="s">
        <v>77</v>
      </c>
      <c r="H768" s="83" t="s">
        <v>14</v>
      </c>
      <c r="I768" s="83" t="s">
        <v>13</v>
      </c>
      <c r="J768" s="83">
        <v>40</v>
      </c>
      <c r="K768" s="84"/>
      <c r="L768" s="83" t="s">
        <v>26</v>
      </c>
      <c r="M768" s="83" t="s">
        <v>60</v>
      </c>
      <c r="N768" s="85">
        <v>45971</v>
      </c>
      <c r="O768" s="86" t="s">
        <v>10</v>
      </c>
      <c r="P768" s="85" t="s">
        <v>0</v>
      </c>
      <c r="Q768" s="91">
        <v>979890797</v>
      </c>
      <c r="R768" s="87"/>
      <c r="S768" s="30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</row>
    <row r="769" spans="2:37" ht="16.2" x14ac:dyDescent="0.3">
      <c r="B769" s="80">
        <v>761</v>
      </c>
      <c r="C769" s="84" t="s">
        <v>402</v>
      </c>
      <c r="D769" s="82" t="s">
        <v>401</v>
      </c>
      <c r="E769" s="83">
        <v>7944</v>
      </c>
      <c r="F769" s="83" t="s">
        <v>16</v>
      </c>
      <c r="G769" s="83" t="s">
        <v>22</v>
      </c>
      <c r="H769" s="83" t="s">
        <v>14</v>
      </c>
      <c r="I769" s="83" t="s">
        <v>13</v>
      </c>
      <c r="J769" s="83">
        <v>45</v>
      </c>
      <c r="K769" s="84"/>
      <c r="L769" s="83" t="s">
        <v>26</v>
      </c>
      <c r="M769" s="83" t="s">
        <v>60</v>
      </c>
      <c r="N769" s="85">
        <v>45971</v>
      </c>
      <c r="O769" s="86" t="s">
        <v>10</v>
      </c>
      <c r="P769" s="85" t="s">
        <v>20</v>
      </c>
      <c r="Q769" s="91">
        <v>979890797</v>
      </c>
      <c r="R769" s="87"/>
      <c r="S769" s="30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</row>
    <row r="770" spans="2:37" ht="16.2" x14ac:dyDescent="0.3">
      <c r="B770" s="80">
        <v>762</v>
      </c>
      <c r="C770" s="84" t="s">
        <v>283</v>
      </c>
      <c r="D770" s="82" t="s">
        <v>282</v>
      </c>
      <c r="E770" s="83">
        <v>7945</v>
      </c>
      <c r="F770" s="83" t="s">
        <v>28</v>
      </c>
      <c r="G770" s="84" t="s">
        <v>164</v>
      </c>
      <c r="H770" s="83" t="s">
        <v>14</v>
      </c>
      <c r="I770" s="83" t="s">
        <v>1059</v>
      </c>
      <c r="J770" s="83">
        <v>40</v>
      </c>
      <c r="K770" s="84"/>
      <c r="L770" s="83" t="s">
        <v>26</v>
      </c>
      <c r="M770" s="83" t="s">
        <v>60</v>
      </c>
      <c r="N770" s="85">
        <v>45971</v>
      </c>
      <c r="O770" s="86" t="s">
        <v>25</v>
      </c>
      <c r="P770" s="85" t="s">
        <v>20</v>
      </c>
      <c r="Q770" s="91">
        <v>243999552497</v>
      </c>
      <c r="R770" s="87"/>
      <c r="S770" s="30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</row>
    <row r="771" spans="2:37" ht="16.2" x14ac:dyDescent="0.3">
      <c r="B771" s="80">
        <v>763</v>
      </c>
      <c r="C771" s="84" t="s">
        <v>496</v>
      </c>
      <c r="D771" s="82" t="s">
        <v>495</v>
      </c>
      <c r="E771" s="83">
        <v>7996</v>
      </c>
      <c r="F771" s="83" t="s">
        <v>16</v>
      </c>
      <c r="G771" s="83" t="s">
        <v>201</v>
      </c>
      <c r="H771" s="83" t="s">
        <v>14</v>
      </c>
      <c r="I771" s="83" t="s">
        <v>13</v>
      </c>
      <c r="J771" s="83">
        <v>40</v>
      </c>
      <c r="K771" s="84"/>
      <c r="L771" s="83" t="s">
        <v>12</v>
      </c>
      <c r="M771" s="83" t="s">
        <v>60</v>
      </c>
      <c r="N771" s="85">
        <v>45971</v>
      </c>
      <c r="O771" s="86" t="s">
        <v>10</v>
      </c>
      <c r="P771" s="85" t="s">
        <v>9</v>
      </c>
      <c r="Q771" s="91" t="s">
        <v>494</v>
      </c>
      <c r="R771" s="87"/>
      <c r="S771" s="30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</row>
    <row r="772" spans="2:37" ht="16.2" x14ac:dyDescent="0.3">
      <c r="B772" s="80">
        <v>764</v>
      </c>
      <c r="C772" s="84" t="s">
        <v>493</v>
      </c>
      <c r="D772" s="82" t="s">
        <v>492</v>
      </c>
      <c r="E772" s="83">
        <v>7947</v>
      </c>
      <c r="F772" s="83" t="s">
        <v>28</v>
      </c>
      <c r="G772" s="83" t="s">
        <v>77</v>
      </c>
      <c r="H772" s="83" t="s">
        <v>14</v>
      </c>
      <c r="I772" s="83" t="s">
        <v>13</v>
      </c>
      <c r="J772" s="83">
        <v>40</v>
      </c>
      <c r="K772" s="84"/>
      <c r="L772" s="83" t="s">
        <v>26</v>
      </c>
      <c r="M772" s="83" t="s">
        <v>60</v>
      </c>
      <c r="N772" s="85">
        <v>45971</v>
      </c>
      <c r="O772" s="86" t="s">
        <v>10</v>
      </c>
      <c r="P772" s="85" t="s">
        <v>0</v>
      </c>
      <c r="Q772" s="91">
        <v>997102095</v>
      </c>
      <c r="R772" s="87"/>
      <c r="S772" s="30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</row>
    <row r="773" spans="2:37" ht="16.2" x14ac:dyDescent="0.3">
      <c r="B773" s="80">
        <v>765</v>
      </c>
      <c r="C773" s="84" t="s">
        <v>1160</v>
      </c>
      <c r="D773" s="82" t="s">
        <v>1161</v>
      </c>
      <c r="E773" s="83">
        <v>7948</v>
      </c>
      <c r="F773" s="83" t="s">
        <v>28</v>
      </c>
      <c r="G773" s="84" t="s">
        <v>100</v>
      </c>
      <c r="H773" s="83" t="s">
        <v>14</v>
      </c>
      <c r="I773" s="83" t="s">
        <v>13</v>
      </c>
      <c r="J773" s="83">
        <v>55</v>
      </c>
      <c r="K773" s="84"/>
      <c r="L773" s="83" t="s">
        <v>12</v>
      </c>
      <c r="M773" s="83" t="s">
        <v>60</v>
      </c>
      <c r="N773" s="85">
        <v>45971</v>
      </c>
      <c r="O773" s="86" t="s">
        <v>10</v>
      </c>
      <c r="P773" s="85" t="s">
        <v>20</v>
      </c>
      <c r="Q773" s="91">
        <v>974421028</v>
      </c>
      <c r="R773" s="87"/>
      <c r="S773" s="30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</row>
    <row r="774" spans="2:37" ht="16.2" x14ac:dyDescent="0.3">
      <c r="B774" s="80">
        <v>766</v>
      </c>
      <c r="C774" s="84" t="s">
        <v>761</v>
      </c>
      <c r="D774" s="82" t="s">
        <v>760</v>
      </c>
      <c r="E774" s="83">
        <v>7949</v>
      </c>
      <c r="F774" s="83" t="s">
        <v>28</v>
      </c>
      <c r="G774" s="83" t="s">
        <v>50</v>
      </c>
      <c r="H774" s="83" t="s">
        <v>14</v>
      </c>
      <c r="I774" s="83" t="s">
        <v>13</v>
      </c>
      <c r="J774" s="83">
        <v>40</v>
      </c>
      <c r="K774" s="84"/>
      <c r="L774" s="83" t="s">
        <v>12</v>
      </c>
      <c r="M774" s="83" t="s">
        <v>60</v>
      </c>
      <c r="N774" s="85">
        <v>45971</v>
      </c>
      <c r="O774" s="86" t="s">
        <v>10</v>
      </c>
      <c r="P774" s="85" t="s">
        <v>9</v>
      </c>
      <c r="Q774" s="91">
        <v>999159905</v>
      </c>
      <c r="R774" s="87"/>
      <c r="S774" s="30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</row>
    <row r="775" spans="2:37" ht="16.2" x14ac:dyDescent="0.3">
      <c r="B775" s="80">
        <v>767</v>
      </c>
      <c r="C775" s="84" t="s">
        <v>763</v>
      </c>
      <c r="D775" s="82" t="s">
        <v>762</v>
      </c>
      <c r="E775" s="83">
        <v>7950</v>
      </c>
      <c r="F775" s="83" t="s">
        <v>28</v>
      </c>
      <c r="G775" s="83" t="s">
        <v>15</v>
      </c>
      <c r="H775" s="83" t="s">
        <v>14</v>
      </c>
      <c r="I775" s="83" t="s">
        <v>13</v>
      </c>
      <c r="J775" s="83">
        <v>40</v>
      </c>
      <c r="K775" s="84"/>
      <c r="L775" s="83" t="s">
        <v>12</v>
      </c>
      <c r="M775" s="83" t="s">
        <v>60</v>
      </c>
      <c r="N775" s="85">
        <v>45971</v>
      </c>
      <c r="O775" s="86" t="s">
        <v>10</v>
      </c>
      <c r="P775" s="85" t="s">
        <v>9</v>
      </c>
      <c r="Q775" s="91">
        <v>999159905</v>
      </c>
      <c r="R775" s="87"/>
      <c r="S775" s="30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</row>
    <row r="776" spans="2:37" ht="16.2" x14ac:dyDescent="0.3">
      <c r="B776" s="80">
        <v>768</v>
      </c>
      <c r="C776" s="84" t="s">
        <v>759</v>
      </c>
      <c r="D776" s="82" t="s">
        <v>758</v>
      </c>
      <c r="E776" s="83">
        <v>7951</v>
      </c>
      <c r="F776" s="83" t="s">
        <v>28</v>
      </c>
      <c r="G776" s="83" t="s">
        <v>46</v>
      </c>
      <c r="H776" s="83" t="s">
        <v>14</v>
      </c>
      <c r="I776" s="83" t="s">
        <v>13</v>
      </c>
      <c r="J776" s="83">
        <v>40</v>
      </c>
      <c r="K776" s="84"/>
      <c r="L776" s="83" t="s">
        <v>12</v>
      </c>
      <c r="M776" s="83" t="s">
        <v>60</v>
      </c>
      <c r="N776" s="85">
        <v>45971</v>
      </c>
      <c r="O776" s="86" t="s">
        <v>10</v>
      </c>
      <c r="P776" s="85" t="s">
        <v>0</v>
      </c>
      <c r="Q776" s="91">
        <v>999159905</v>
      </c>
      <c r="R776" s="87"/>
      <c r="S776" s="30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</row>
    <row r="777" spans="2:37" ht="16.2" x14ac:dyDescent="0.3">
      <c r="B777" s="80">
        <v>769</v>
      </c>
      <c r="C777" s="84" t="s">
        <v>542</v>
      </c>
      <c r="D777" s="82" t="s">
        <v>541</v>
      </c>
      <c r="E777" s="83">
        <v>7952</v>
      </c>
      <c r="F777" s="83" t="s">
        <v>28</v>
      </c>
      <c r="G777" s="83" t="s">
        <v>167</v>
      </c>
      <c r="H777" s="83" t="s">
        <v>14</v>
      </c>
      <c r="I777" s="83" t="s">
        <v>281</v>
      </c>
      <c r="J777" s="83">
        <v>80</v>
      </c>
      <c r="K777" s="84"/>
      <c r="L777" s="83" t="s">
        <v>26</v>
      </c>
      <c r="M777" s="83" t="s">
        <v>60</v>
      </c>
      <c r="N777" s="85">
        <v>45971</v>
      </c>
      <c r="O777" s="86" t="s">
        <v>25</v>
      </c>
      <c r="P777" s="85" t="s">
        <v>20</v>
      </c>
      <c r="Q777" s="91">
        <v>979872836</v>
      </c>
      <c r="R777" s="87"/>
      <c r="S777" s="30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</row>
    <row r="778" spans="2:37" ht="16.2" x14ac:dyDescent="0.3">
      <c r="B778" s="80">
        <v>770</v>
      </c>
      <c r="C778" s="84" t="s">
        <v>296</v>
      </c>
      <c r="D778" s="82" t="s">
        <v>295</v>
      </c>
      <c r="E778" s="83">
        <v>7953</v>
      </c>
      <c r="F778" s="83" t="s">
        <v>28</v>
      </c>
      <c r="G778" s="83" t="s">
        <v>22</v>
      </c>
      <c r="H778" s="83" t="s">
        <v>14</v>
      </c>
      <c r="I778" s="83" t="s">
        <v>13</v>
      </c>
      <c r="J778" s="83">
        <v>45</v>
      </c>
      <c r="K778" s="84"/>
      <c r="L778" s="83" t="s">
        <v>12</v>
      </c>
      <c r="M778" s="83" t="s">
        <v>60</v>
      </c>
      <c r="N778" s="85">
        <v>45971</v>
      </c>
      <c r="O778" s="86" t="s">
        <v>10</v>
      </c>
      <c r="P778" s="85" t="s">
        <v>20</v>
      </c>
      <c r="Q778" s="91">
        <v>851235759</v>
      </c>
      <c r="R778" s="87"/>
      <c r="S778" s="30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</row>
    <row r="779" spans="2:37" ht="16.2" x14ac:dyDescent="0.3">
      <c r="B779" s="80">
        <v>771</v>
      </c>
      <c r="C779" s="84" t="s">
        <v>1162</v>
      </c>
      <c r="D779" s="82" t="s">
        <v>1163</v>
      </c>
      <c r="E779" s="83">
        <v>7914</v>
      </c>
      <c r="F779" s="83" t="s">
        <v>16</v>
      </c>
      <c r="G779" s="83" t="s">
        <v>113</v>
      </c>
      <c r="H779" s="83" t="s">
        <v>14</v>
      </c>
      <c r="I779" s="83" t="s">
        <v>13</v>
      </c>
      <c r="J779" s="83">
        <v>45</v>
      </c>
      <c r="K779" s="84"/>
      <c r="L779" s="83" t="s">
        <v>26</v>
      </c>
      <c r="M779" s="83" t="s">
        <v>60</v>
      </c>
      <c r="N779" s="85">
        <v>45971</v>
      </c>
      <c r="O779" s="86" t="s">
        <v>25</v>
      </c>
      <c r="P779" s="85" t="s">
        <v>20</v>
      </c>
      <c r="Q779" s="91">
        <v>996649290</v>
      </c>
      <c r="R779" s="87"/>
      <c r="S779" s="30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</row>
    <row r="780" spans="2:37" ht="16.2" x14ac:dyDescent="0.3">
      <c r="B780" s="80">
        <v>772</v>
      </c>
      <c r="C780" s="84" t="s">
        <v>1162</v>
      </c>
      <c r="D780" s="82" t="s">
        <v>1163</v>
      </c>
      <c r="E780" s="83">
        <v>7915</v>
      </c>
      <c r="F780" s="83" t="s">
        <v>16</v>
      </c>
      <c r="G780" s="83" t="s">
        <v>113</v>
      </c>
      <c r="H780" s="83" t="s">
        <v>14</v>
      </c>
      <c r="I780" s="83" t="s">
        <v>21</v>
      </c>
      <c r="J780" s="83">
        <v>45</v>
      </c>
      <c r="K780" s="84"/>
      <c r="L780" s="83" t="s">
        <v>26</v>
      </c>
      <c r="M780" s="83" t="s">
        <v>60</v>
      </c>
      <c r="N780" s="85">
        <v>45971</v>
      </c>
      <c r="O780" s="86" t="s">
        <v>25</v>
      </c>
      <c r="P780" s="85" t="s">
        <v>20</v>
      </c>
      <c r="Q780" s="91">
        <v>996649290</v>
      </c>
      <c r="R780" s="87"/>
      <c r="S780" s="30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</row>
    <row r="781" spans="2:37" ht="16.2" x14ac:dyDescent="0.3">
      <c r="B781" s="80">
        <v>773</v>
      </c>
      <c r="C781" s="84" t="s">
        <v>360</v>
      </c>
      <c r="D781" s="82" t="s">
        <v>359</v>
      </c>
      <c r="E781" s="83">
        <v>7940</v>
      </c>
      <c r="F781" s="83" t="s">
        <v>28</v>
      </c>
      <c r="G781" s="84" t="s">
        <v>127</v>
      </c>
      <c r="H781" s="83" t="s">
        <v>14</v>
      </c>
      <c r="I781" s="83" t="s">
        <v>281</v>
      </c>
      <c r="J781" s="83">
        <v>40</v>
      </c>
      <c r="K781" s="84"/>
      <c r="L781" s="83" t="s">
        <v>26</v>
      </c>
      <c r="M781" s="83" t="s">
        <v>60</v>
      </c>
      <c r="N781" s="85">
        <v>45971</v>
      </c>
      <c r="O781" s="86" t="s">
        <v>10</v>
      </c>
      <c r="P781" s="85" t="s">
        <v>20</v>
      </c>
      <c r="Q781" s="91">
        <v>814661612</v>
      </c>
      <c r="R781" s="87"/>
      <c r="S781" s="30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</row>
    <row r="782" spans="2:37" ht="16.2" x14ac:dyDescent="0.3">
      <c r="B782" s="80">
        <v>774</v>
      </c>
      <c r="C782" s="81" t="s">
        <v>749</v>
      </c>
      <c r="D782" s="82" t="s">
        <v>748</v>
      </c>
      <c r="E782" s="83">
        <v>7917</v>
      </c>
      <c r="F782" s="83" t="s">
        <v>16</v>
      </c>
      <c r="G782" s="83" t="s">
        <v>31</v>
      </c>
      <c r="H782" s="83" t="s">
        <v>14</v>
      </c>
      <c r="I782" s="83" t="s">
        <v>103</v>
      </c>
      <c r="J782" s="83">
        <v>10</v>
      </c>
      <c r="K782" s="84"/>
      <c r="L782" s="83" t="s">
        <v>12</v>
      </c>
      <c r="M782" s="83" t="s">
        <v>60</v>
      </c>
      <c r="N782" s="85">
        <v>45971</v>
      </c>
      <c r="O782" s="86" t="s">
        <v>25</v>
      </c>
      <c r="P782" s="85" t="s">
        <v>20</v>
      </c>
      <c r="Q782" s="91">
        <v>999820231</v>
      </c>
      <c r="R782" s="87"/>
      <c r="S782" s="30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</row>
    <row r="783" spans="2:37" ht="16.2" customHeight="1" x14ac:dyDescent="0.3">
      <c r="B783" s="80">
        <v>775</v>
      </c>
      <c r="C783" s="84" t="s">
        <v>1164</v>
      </c>
      <c r="D783" s="82" t="s">
        <v>1165</v>
      </c>
      <c r="E783" s="83">
        <v>7954</v>
      </c>
      <c r="F783" s="83" t="s">
        <v>16</v>
      </c>
      <c r="G783" s="83" t="s">
        <v>40</v>
      </c>
      <c r="H783" s="83" t="s">
        <v>14</v>
      </c>
      <c r="I783" s="83" t="s">
        <v>13</v>
      </c>
      <c r="J783" s="83">
        <v>50</v>
      </c>
      <c r="K783" s="84"/>
      <c r="L783" s="83" t="s">
        <v>26</v>
      </c>
      <c r="M783" s="83" t="s">
        <v>49</v>
      </c>
      <c r="N783" s="85">
        <v>45972</v>
      </c>
      <c r="O783" s="86" t="s">
        <v>10</v>
      </c>
      <c r="P783" s="85" t="s">
        <v>0</v>
      </c>
      <c r="Q783" s="91">
        <v>855491731</v>
      </c>
      <c r="R783" s="87"/>
      <c r="S783" s="30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</row>
    <row r="784" spans="2:37" ht="16.2" x14ac:dyDescent="0.3">
      <c r="B784" s="80">
        <v>776</v>
      </c>
      <c r="C784" s="84" t="s">
        <v>1166</v>
      </c>
      <c r="D784" s="82" t="s">
        <v>1167</v>
      </c>
      <c r="E784" s="83">
        <v>7955</v>
      </c>
      <c r="F784" s="83" t="s">
        <v>28</v>
      </c>
      <c r="G784" s="84" t="s">
        <v>68</v>
      </c>
      <c r="H784" s="83" t="s">
        <v>14</v>
      </c>
      <c r="I784" s="83" t="s">
        <v>13</v>
      </c>
      <c r="J784" s="83">
        <v>55</v>
      </c>
      <c r="K784" s="84"/>
      <c r="L784" s="83" t="s">
        <v>26</v>
      </c>
      <c r="M784" s="83" t="s">
        <v>49</v>
      </c>
      <c r="N784" s="85">
        <v>45972</v>
      </c>
      <c r="O784" s="86" t="s">
        <v>25</v>
      </c>
      <c r="P784" s="85" t="s">
        <v>20</v>
      </c>
      <c r="Q784" s="91">
        <v>977415665</v>
      </c>
      <c r="R784" s="87"/>
      <c r="S784" s="30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</row>
    <row r="785" spans="2:37" ht="16.2" x14ac:dyDescent="0.3">
      <c r="B785" s="80">
        <v>777</v>
      </c>
      <c r="C785" s="84" t="s">
        <v>471</v>
      </c>
      <c r="D785" s="82" t="s">
        <v>470</v>
      </c>
      <c r="E785" s="83">
        <v>7956</v>
      </c>
      <c r="F785" s="83" t="s">
        <v>28</v>
      </c>
      <c r="G785" s="84" t="s">
        <v>100</v>
      </c>
      <c r="H785" s="83" t="s">
        <v>14</v>
      </c>
      <c r="I785" s="83" t="s">
        <v>13</v>
      </c>
      <c r="J785" s="83">
        <v>55</v>
      </c>
      <c r="K785" s="84"/>
      <c r="L785" s="83" t="s">
        <v>12</v>
      </c>
      <c r="M785" s="83" t="s">
        <v>49</v>
      </c>
      <c r="N785" s="85">
        <v>45972</v>
      </c>
      <c r="O785" s="86" t="s">
        <v>10</v>
      </c>
      <c r="P785" s="85" t="s">
        <v>20</v>
      </c>
      <c r="Q785" s="91">
        <v>973320051</v>
      </c>
      <c r="R785" s="87"/>
      <c r="S785" s="30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</row>
    <row r="786" spans="2:37" ht="16.2" x14ac:dyDescent="0.3">
      <c r="B786" s="80">
        <v>778</v>
      </c>
      <c r="C786" s="84" t="s">
        <v>1168</v>
      </c>
      <c r="D786" s="82" t="s">
        <v>1169</v>
      </c>
      <c r="E786" s="83">
        <v>7957</v>
      </c>
      <c r="F786" s="83" t="s">
        <v>16</v>
      </c>
      <c r="G786" s="83" t="s">
        <v>15</v>
      </c>
      <c r="H786" s="83" t="s">
        <v>14</v>
      </c>
      <c r="I786" s="83" t="s">
        <v>13</v>
      </c>
      <c r="J786" s="83">
        <v>30</v>
      </c>
      <c r="K786" s="83"/>
      <c r="L786" s="83" t="s">
        <v>12</v>
      </c>
      <c r="M786" s="83" t="s">
        <v>49</v>
      </c>
      <c r="N786" s="85">
        <v>45972</v>
      </c>
      <c r="O786" s="86" t="s">
        <v>10</v>
      </c>
      <c r="P786" s="85" t="s">
        <v>9</v>
      </c>
      <c r="Q786" s="91">
        <v>997214026</v>
      </c>
      <c r="R786" s="87"/>
      <c r="S786" s="30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</row>
    <row r="787" spans="2:37" ht="16.2" x14ac:dyDescent="0.3">
      <c r="B787" s="80">
        <v>779</v>
      </c>
      <c r="C787" s="84" t="s">
        <v>1170</v>
      </c>
      <c r="D787" s="82" t="s">
        <v>1171</v>
      </c>
      <c r="E787" s="83">
        <v>7958</v>
      </c>
      <c r="F787" s="83" t="s">
        <v>16</v>
      </c>
      <c r="G787" s="83" t="s">
        <v>50</v>
      </c>
      <c r="H787" s="83" t="s">
        <v>14</v>
      </c>
      <c r="I787" s="83" t="s">
        <v>13</v>
      </c>
      <c r="J787" s="83">
        <v>30</v>
      </c>
      <c r="K787" s="83"/>
      <c r="L787" s="83" t="s">
        <v>12</v>
      </c>
      <c r="M787" s="83" t="s">
        <v>49</v>
      </c>
      <c r="N787" s="85">
        <v>45972</v>
      </c>
      <c r="O787" s="86" t="s">
        <v>10</v>
      </c>
      <c r="P787" s="85" t="s">
        <v>9</v>
      </c>
      <c r="Q787" s="91">
        <v>997214027</v>
      </c>
      <c r="R787" s="87"/>
      <c r="S787" s="30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</row>
    <row r="788" spans="2:37" ht="16.2" x14ac:dyDescent="0.3">
      <c r="B788" s="80">
        <v>780</v>
      </c>
      <c r="C788" s="84" t="s">
        <v>105</v>
      </c>
      <c r="D788" s="82" t="s">
        <v>104</v>
      </c>
      <c r="E788" s="83">
        <v>7960</v>
      </c>
      <c r="F788" s="83" t="s">
        <v>28</v>
      </c>
      <c r="G788" s="83" t="s">
        <v>100</v>
      </c>
      <c r="H788" s="83" t="s">
        <v>14</v>
      </c>
      <c r="I788" s="83" t="s">
        <v>13</v>
      </c>
      <c r="J788" s="83">
        <v>55</v>
      </c>
      <c r="K788" s="84"/>
      <c r="L788" s="83" t="s">
        <v>26</v>
      </c>
      <c r="M788" s="83" t="s">
        <v>49</v>
      </c>
      <c r="N788" s="85">
        <v>45972</v>
      </c>
      <c r="O788" s="86" t="s">
        <v>10</v>
      </c>
      <c r="P788" s="85" t="s">
        <v>20</v>
      </c>
      <c r="Q788" s="91">
        <v>995552155</v>
      </c>
      <c r="R788" s="87"/>
      <c r="S788" s="30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</row>
    <row r="789" spans="2:37" ht="16.2" customHeight="1" x14ac:dyDescent="0.3">
      <c r="B789" s="80">
        <v>781</v>
      </c>
      <c r="C789" s="84" t="s">
        <v>266</v>
      </c>
      <c r="D789" s="82" t="s">
        <v>265</v>
      </c>
      <c r="E789" s="83">
        <v>7961</v>
      </c>
      <c r="F789" s="83" t="s">
        <v>16</v>
      </c>
      <c r="G789" s="84" t="s">
        <v>15</v>
      </c>
      <c r="H789" s="83" t="s">
        <v>14</v>
      </c>
      <c r="I789" s="83" t="s">
        <v>13</v>
      </c>
      <c r="J789" s="83">
        <v>40</v>
      </c>
      <c r="K789" s="84"/>
      <c r="L789" s="83" t="s">
        <v>12</v>
      </c>
      <c r="M789" s="83" t="s">
        <v>49</v>
      </c>
      <c r="N789" s="85">
        <v>45972</v>
      </c>
      <c r="O789" s="86" t="s">
        <v>10</v>
      </c>
      <c r="P789" s="85" t="s">
        <v>9</v>
      </c>
      <c r="Q789" s="91"/>
      <c r="R789" s="87"/>
      <c r="S789" s="30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</row>
    <row r="790" spans="2:37" ht="16.2" customHeight="1" x14ac:dyDescent="0.3">
      <c r="B790" s="80">
        <v>782</v>
      </c>
      <c r="C790" s="84" t="s">
        <v>268</v>
      </c>
      <c r="D790" s="82" t="s">
        <v>267</v>
      </c>
      <c r="E790" s="83">
        <v>7962</v>
      </c>
      <c r="F790" s="83" t="s">
        <v>28</v>
      </c>
      <c r="G790" s="83" t="s">
        <v>80</v>
      </c>
      <c r="H790" s="83" t="s">
        <v>14</v>
      </c>
      <c r="I790" s="83" t="s">
        <v>21</v>
      </c>
      <c r="J790" s="83">
        <v>40</v>
      </c>
      <c r="K790" s="84"/>
      <c r="L790" s="83" t="s">
        <v>12</v>
      </c>
      <c r="M790" s="83" t="s">
        <v>49</v>
      </c>
      <c r="N790" s="85">
        <v>45972</v>
      </c>
      <c r="O790" s="86" t="s">
        <v>10</v>
      </c>
      <c r="P790" s="85" t="s">
        <v>9</v>
      </c>
      <c r="Q790" s="91">
        <v>850136358</v>
      </c>
      <c r="R790" s="87"/>
      <c r="S790" s="30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</row>
    <row r="791" spans="2:37" ht="16.2" x14ac:dyDescent="0.3">
      <c r="B791" s="80">
        <v>783</v>
      </c>
      <c r="C791" s="84" t="s">
        <v>581</v>
      </c>
      <c r="D791" s="82" t="s">
        <v>580</v>
      </c>
      <c r="E791" s="83">
        <v>7963</v>
      </c>
      <c r="F791" s="83" t="s">
        <v>16</v>
      </c>
      <c r="G791" s="83" t="s">
        <v>37</v>
      </c>
      <c r="H791" s="83" t="s">
        <v>14</v>
      </c>
      <c r="I791" s="83" t="s">
        <v>13</v>
      </c>
      <c r="J791" s="83">
        <v>45</v>
      </c>
      <c r="K791" s="84"/>
      <c r="L791" s="83" t="s">
        <v>26</v>
      </c>
      <c r="M791" s="83" t="s">
        <v>49</v>
      </c>
      <c r="N791" s="85">
        <v>45972</v>
      </c>
      <c r="O791" s="86" t="s">
        <v>10</v>
      </c>
      <c r="P791" s="85" t="s">
        <v>20</v>
      </c>
      <c r="Q791" s="91">
        <v>821691767</v>
      </c>
      <c r="R791" s="87"/>
      <c r="S791" s="30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</row>
    <row r="792" spans="2:37" ht="16.2" customHeight="1" x14ac:dyDescent="0.3">
      <c r="B792" s="80">
        <v>784</v>
      </c>
      <c r="C792" s="84" t="s">
        <v>211</v>
      </c>
      <c r="D792" s="82" t="s">
        <v>210</v>
      </c>
      <c r="E792" s="83">
        <v>7964</v>
      </c>
      <c r="F792" s="83" t="s">
        <v>28</v>
      </c>
      <c r="G792" s="83" t="s">
        <v>97</v>
      </c>
      <c r="H792" s="83" t="s">
        <v>14</v>
      </c>
      <c r="I792" s="83" t="s">
        <v>13</v>
      </c>
      <c r="J792" s="83">
        <v>80</v>
      </c>
      <c r="K792" s="84"/>
      <c r="L792" s="83" t="s">
        <v>26</v>
      </c>
      <c r="M792" s="83" t="s">
        <v>49</v>
      </c>
      <c r="N792" s="85">
        <v>45972</v>
      </c>
      <c r="O792" s="86" t="s">
        <v>25</v>
      </c>
      <c r="P792" s="85" t="s">
        <v>20</v>
      </c>
      <c r="Q792" s="91">
        <v>995552155</v>
      </c>
      <c r="R792" s="87"/>
      <c r="S792" s="30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</row>
    <row r="793" spans="2:37" ht="16.2" customHeight="1" x14ac:dyDescent="0.3">
      <c r="B793" s="80">
        <v>785</v>
      </c>
      <c r="C793" s="84" t="s">
        <v>39</v>
      </c>
      <c r="D793" s="82" t="s">
        <v>38</v>
      </c>
      <c r="E793" s="83">
        <v>7967</v>
      </c>
      <c r="F793" s="84" t="s">
        <v>28</v>
      </c>
      <c r="G793" s="84" t="s">
        <v>37</v>
      </c>
      <c r="H793" s="84" t="s">
        <v>14</v>
      </c>
      <c r="I793" s="84" t="s">
        <v>13</v>
      </c>
      <c r="J793" s="84">
        <v>45</v>
      </c>
      <c r="K793" s="84"/>
      <c r="L793" s="84" t="s">
        <v>26</v>
      </c>
      <c r="M793" s="84" t="s">
        <v>49</v>
      </c>
      <c r="N793" s="85">
        <v>45972</v>
      </c>
      <c r="O793" s="86" t="s">
        <v>10</v>
      </c>
      <c r="P793" s="97" t="s">
        <v>20</v>
      </c>
      <c r="Q793" s="91">
        <v>990652644</v>
      </c>
      <c r="R793" s="91"/>
      <c r="S793" s="30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</row>
    <row r="794" spans="2:37" ht="16.2" customHeight="1" x14ac:dyDescent="0.3">
      <c r="B794" s="80">
        <v>786</v>
      </c>
      <c r="C794" s="84" t="s">
        <v>36</v>
      </c>
      <c r="D794" s="82" t="s">
        <v>35</v>
      </c>
      <c r="E794" s="83">
        <v>7966</v>
      </c>
      <c r="F794" s="84" t="s">
        <v>28</v>
      </c>
      <c r="G794" s="84" t="s">
        <v>34</v>
      </c>
      <c r="H794" s="84" t="s">
        <v>14</v>
      </c>
      <c r="I794" s="84" t="s">
        <v>13</v>
      </c>
      <c r="J794" s="84">
        <v>55</v>
      </c>
      <c r="K794" s="84"/>
      <c r="L794" s="84" t="s">
        <v>26</v>
      </c>
      <c r="M794" s="84" t="s">
        <v>49</v>
      </c>
      <c r="N794" s="85">
        <v>45972</v>
      </c>
      <c r="O794" s="86" t="s">
        <v>10</v>
      </c>
      <c r="P794" s="97" t="s">
        <v>20</v>
      </c>
      <c r="Q794" s="91">
        <v>973339729</v>
      </c>
      <c r="R794" s="91"/>
      <c r="S794" s="30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</row>
    <row r="795" spans="2:37" ht="16.2" x14ac:dyDescent="0.3">
      <c r="B795" s="80">
        <v>787</v>
      </c>
      <c r="C795" s="84" t="s">
        <v>503</v>
      </c>
      <c r="D795" s="82" t="s">
        <v>502</v>
      </c>
      <c r="E795" s="83">
        <v>7968</v>
      </c>
      <c r="F795" s="83" t="s">
        <v>16</v>
      </c>
      <c r="G795" s="83" t="s">
        <v>22</v>
      </c>
      <c r="H795" s="83" t="s">
        <v>14</v>
      </c>
      <c r="I795" s="83" t="s">
        <v>13</v>
      </c>
      <c r="J795" s="83">
        <v>45</v>
      </c>
      <c r="K795" s="84"/>
      <c r="L795" s="83" t="s">
        <v>26</v>
      </c>
      <c r="M795" s="83" t="s">
        <v>49</v>
      </c>
      <c r="N795" s="85">
        <v>45972</v>
      </c>
      <c r="O795" s="86" t="s">
        <v>10</v>
      </c>
      <c r="P795" s="85" t="s">
        <v>20</v>
      </c>
      <c r="Q795" s="91">
        <v>811853442</v>
      </c>
      <c r="R795" s="87"/>
      <c r="S795" s="30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</row>
    <row r="796" spans="2:37" ht="16.2" x14ac:dyDescent="0.3">
      <c r="B796" s="80">
        <v>788</v>
      </c>
      <c r="C796" s="84" t="s">
        <v>1172</v>
      </c>
      <c r="D796" s="82" t="s">
        <v>1173</v>
      </c>
      <c r="E796" s="83">
        <v>7969</v>
      </c>
      <c r="F796" s="83" t="s">
        <v>16</v>
      </c>
      <c r="G796" s="84" t="s">
        <v>113</v>
      </c>
      <c r="H796" s="83" t="s">
        <v>14</v>
      </c>
      <c r="I796" s="83" t="s">
        <v>13</v>
      </c>
      <c r="J796" s="83">
        <v>45</v>
      </c>
      <c r="K796" s="84"/>
      <c r="L796" s="83" t="s">
        <v>26</v>
      </c>
      <c r="M796" s="83" t="s">
        <v>49</v>
      </c>
      <c r="N796" s="85">
        <v>45972</v>
      </c>
      <c r="O796" s="86" t="s">
        <v>25</v>
      </c>
      <c r="P796" s="85" t="s">
        <v>20</v>
      </c>
      <c r="Q796" s="91"/>
      <c r="R796" s="87"/>
      <c r="S796" s="30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</row>
    <row r="797" spans="2:37" ht="16.2" x14ac:dyDescent="0.3">
      <c r="B797" s="80">
        <v>789</v>
      </c>
      <c r="C797" s="84" t="s">
        <v>784</v>
      </c>
      <c r="D797" s="82" t="s">
        <v>783</v>
      </c>
      <c r="E797" s="83">
        <v>7970</v>
      </c>
      <c r="F797" s="84" t="s">
        <v>28</v>
      </c>
      <c r="G797" s="84" t="s">
        <v>77</v>
      </c>
      <c r="H797" s="84" t="s">
        <v>14</v>
      </c>
      <c r="I797" s="84" t="s">
        <v>13</v>
      </c>
      <c r="J797" s="84">
        <v>40</v>
      </c>
      <c r="K797" s="84"/>
      <c r="L797" s="84" t="s">
        <v>26</v>
      </c>
      <c r="M797" s="84" t="s">
        <v>49</v>
      </c>
      <c r="N797" s="85">
        <v>45972</v>
      </c>
      <c r="O797" s="86" t="s">
        <v>10</v>
      </c>
      <c r="P797" s="97" t="s">
        <v>0</v>
      </c>
      <c r="Q797" s="91" t="s">
        <v>782</v>
      </c>
      <c r="R797" s="91"/>
      <c r="S797" s="30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</row>
    <row r="798" spans="2:37" ht="16.2" customHeight="1" x14ac:dyDescent="0.3">
      <c r="B798" s="80">
        <v>790</v>
      </c>
      <c r="C798" s="84" t="s">
        <v>207</v>
      </c>
      <c r="D798" s="82" t="s">
        <v>206</v>
      </c>
      <c r="E798" s="83">
        <v>7971</v>
      </c>
      <c r="F798" s="84" t="s">
        <v>16</v>
      </c>
      <c r="G798" s="84" t="s">
        <v>201</v>
      </c>
      <c r="H798" s="84" t="s">
        <v>14</v>
      </c>
      <c r="I798" s="84" t="s">
        <v>13</v>
      </c>
      <c r="J798" s="84">
        <v>40</v>
      </c>
      <c r="K798" s="84"/>
      <c r="L798" s="84" t="s">
        <v>12</v>
      </c>
      <c r="M798" s="84" t="s">
        <v>49</v>
      </c>
      <c r="N798" s="85">
        <v>45972</v>
      </c>
      <c r="O798" s="86" t="s">
        <v>10</v>
      </c>
      <c r="P798" s="97" t="s">
        <v>9</v>
      </c>
      <c r="Q798" s="91">
        <v>821093915</v>
      </c>
      <c r="R798" s="91"/>
      <c r="S798" s="30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</row>
    <row r="799" spans="2:37" ht="16.2" customHeight="1" x14ac:dyDescent="0.3">
      <c r="B799" s="80">
        <v>791</v>
      </c>
      <c r="C799" s="84" t="s">
        <v>226</v>
      </c>
      <c r="D799" s="82" t="s">
        <v>225</v>
      </c>
      <c r="E799" s="83">
        <v>7972</v>
      </c>
      <c r="F799" s="83" t="s">
        <v>28</v>
      </c>
      <c r="G799" s="83" t="s">
        <v>150</v>
      </c>
      <c r="H799" s="83" t="s">
        <v>14</v>
      </c>
      <c r="I799" s="83" t="s">
        <v>13</v>
      </c>
      <c r="J799" s="83">
        <v>40</v>
      </c>
      <c r="K799" s="84"/>
      <c r="L799" s="83" t="s">
        <v>12</v>
      </c>
      <c r="M799" s="83" t="s">
        <v>49</v>
      </c>
      <c r="N799" s="85">
        <v>45972</v>
      </c>
      <c r="O799" s="86" t="s">
        <v>10</v>
      </c>
      <c r="P799" s="85" t="s">
        <v>20</v>
      </c>
      <c r="Q799" s="91"/>
      <c r="R799" s="87"/>
      <c r="S799" s="30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</row>
    <row r="800" spans="2:37" ht="16.5" customHeight="1" x14ac:dyDescent="0.3">
      <c r="B800" s="80">
        <v>792</v>
      </c>
      <c r="C800" s="84" t="s">
        <v>123</v>
      </c>
      <c r="D800" s="82" t="s">
        <v>122</v>
      </c>
      <c r="E800" s="83">
        <v>7973</v>
      </c>
      <c r="F800" s="83" t="s">
        <v>16</v>
      </c>
      <c r="G800" s="83" t="s">
        <v>46</v>
      </c>
      <c r="H800" s="83" t="s">
        <v>14</v>
      </c>
      <c r="I800" s="83" t="s">
        <v>13</v>
      </c>
      <c r="J800" s="83">
        <v>35</v>
      </c>
      <c r="K800" s="84"/>
      <c r="L800" s="83" t="s">
        <v>26</v>
      </c>
      <c r="M800" s="83" t="s">
        <v>49</v>
      </c>
      <c r="N800" s="85">
        <v>45972</v>
      </c>
      <c r="O800" s="86" t="s">
        <v>10</v>
      </c>
      <c r="P800" s="85" t="s">
        <v>0</v>
      </c>
      <c r="Q800" s="91"/>
      <c r="R800" s="87"/>
      <c r="S800" s="30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</row>
    <row r="801" spans="2:37" ht="16.5" customHeight="1" x14ac:dyDescent="0.3">
      <c r="B801" s="80">
        <v>793</v>
      </c>
      <c r="C801" s="84" t="s">
        <v>751</v>
      </c>
      <c r="D801" s="82" t="s">
        <v>750</v>
      </c>
      <c r="E801" s="83">
        <v>7974</v>
      </c>
      <c r="F801" s="83" t="s">
        <v>16</v>
      </c>
      <c r="G801" s="83" t="s">
        <v>164</v>
      </c>
      <c r="H801" s="83" t="s">
        <v>14</v>
      </c>
      <c r="I801" s="83" t="s">
        <v>1059</v>
      </c>
      <c r="J801" s="83">
        <v>50</v>
      </c>
      <c r="K801" s="84"/>
      <c r="L801" s="83" t="s">
        <v>12</v>
      </c>
      <c r="M801" s="83" t="s">
        <v>49</v>
      </c>
      <c r="N801" s="85">
        <v>45972</v>
      </c>
      <c r="O801" s="86" t="s">
        <v>25</v>
      </c>
      <c r="P801" s="85" t="s">
        <v>20</v>
      </c>
      <c r="Q801" s="91">
        <v>993693635</v>
      </c>
      <c r="R801" s="87"/>
      <c r="S801" s="30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</row>
    <row r="802" spans="2:37" ht="16.2" customHeight="1" x14ac:dyDescent="0.3">
      <c r="B802" s="80">
        <v>794</v>
      </c>
      <c r="C802" s="84" t="s">
        <v>432</v>
      </c>
      <c r="D802" s="82" t="s">
        <v>431</v>
      </c>
      <c r="E802" s="83">
        <v>7975</v>
      </c>
      <c r="F802" s="83" t="s">
        <v>28</v>
      </c>
      <c r="G802" s="83" t="s">
        <v>140</v>
      </c>
      <c r="H802" s="83" t="s">
        <v>14</v>
      </c>
      <c r="I802" s="83" t="s">
        <v>13</v>
      </c>
      <c r="J802" s="83">
        <v>55</v>
      </c>
      <c r="K802" s="84"/>
      <c r="L802" s="83" t="s">
        <v>12</v>
      </c>
      <c r="M802" s="83" t="s">
        <v>49</v>
      </c>
      <c r="N802" s="85">
        <v>45972</v>
      </c>
      <c r="O802" s="86" t="s">
        <v>25</v>
      </c>
      <c r="P802" s="85" t="s">
        <v>20</v>
      </c>
      <c r="Q802" s="91" t="s">
        <v>430</v>
      </c>
      <c r="R802" s="87"/>
      <c r="S802" s="30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</row>
    <row r="803" spans="2:37" ht="16.2" customHeight="1" x14ac:dyDescent="0.3">
      <c r="B803" s="80">
        <v>795</v>
      </c>
      <c r="C803" s="97" t="s">
        <v>644</v>
      </c>
      <c r="D803" s="104" t="s">
        <v>643</v>
      </c>
      <c r="E803" s="105">
        <v>7976</v>
      </c>
      <c r="F803" s="97" t="s">
        <v>16</v>
      </c>
      <c r="G803" s="97" t="s">
        <v>83</v>
      </c>
      <c r="H803" s="97" t="s">
        <v>14</v>
      </c>
      <c r="I803" s="97" t="s">
        <v>13</v>
      </c>
      <c r="J803" s="97">
        <v>40</v>
      </c>
      <c r="K803" s="97"/>
      <c r="L803" s="97" t="s">
        <v>12</v>
      </c>
      <c r="M803" s="97" t="s">
        <v>49</v>
      </c>
      <c r="N803" s="85">
        <v>45972</v>
      </c>
      <c r="O803" s="86" t="s">
        <v>10</v>
      </c>
      <c r="P803" s="97" t="s">
        <v>9</v>
      </c>
      <c r="Q803" s="91">
        <v>999301028</v>
      </c>
      <c r="R803" s="91"/>
      <c r="S803" s="30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</row>
    <row r="804" spans="2:37" ht="16.2" customHeight="1" x14ac:dyDescent="0.3">
      <c r="B804" s="80">
        <v>796</v>
      </c>
      <c r="C804" s="84" t="s">
        <v>154</v>
      </c>
      <c r="D804" s="82" t="s">
        <v>153</v>
      </c>
      <c r="E804" s="83">
        <v>7977</v>
      </c>
      <c r="F804" s="84" t="s">
        <v>28</v>
      </c>
      <c r="G804" s="84" t="s">
        <v>140</v>
      </c>
      <c r="H804" s="84" t="s">
        <v>14</v>
      </c>
      <c r="I804" s="84" t="s">
        <v>13</v>
      </c>
      <c r="J804" s="84">
        <v>55</v>
      </c>
      <c r="K804" s="84"/>
      <c r="L804" s="84" t="s">
        <v>12</v>
      </c>
      <c r="M804" s="84" t="s">
        <v>49</v>
      </c>
      <c r="N804" s="85">
        <v>45972</v>
      </c>
      <c r="O804" s="86" t="s">
        <v>25</v>
      </c>
      <c r="P804" s="97" t="s">
        <v>20</v>
      </c>
      <c r="Q804" s="91">
        <v>999301028</v>
      </c>
      <c r="R804" s="91"/>
      <c r="S804" s="30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</row>
    <row r="805" spans="2:37" ht="16.5" customHeight="1" x14ac:dyDescent="0.3">
      <c r="B805" s="80">
        <v>797</v>
      </c>
      <c r="C805" s="84" t="s">
        <v>156</v>
      </c>
      <c r="D805" s="82" t="s">
        <v>155</v>
      </c>
      <c r="E805" s="83">
        <v>7979</v>
      </c>
      <c r="F805" s="84" t="s">
        <v>28</v>
      </c>
      <c r="G805" s="84" t="s">
        <v>100</v>
      </c>
      <c r="H805" s="84" t="s">
        <v>14</v>
      </c>
      <c r="I805" s="84" t="s">
        <v>281</v>
      </c>
      <c r="J805" s="84">
        <v>40</v>
      </c>
      <c r="K805" s="84"/>
      <c r="L805" s="84" t="s">
        <v>12</v>
      </c>
      <c r="M805" s="84" t="s">
        <v>49</v>
      </c>
      <c r="N805" s="85">
        <v>45972</v>
      </c>
      <c r="O805" s="86" t="s">
        <v>10</v>
      </c>
      <c r="P805" s="97" t="s">
        <v>20</v>
      </c>
      <c r="Q805" s="91">
        <v>999301028</v>
      </c>
      <c r="R805" s="91"/>
      <c r="S805" s="30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</row>
    <row r="806" spans="2:37" ht="16.5" customHeight="1" x14ac:dyDescent="0.3">
      <c r="B806" s="80">
        <v>798</v>
      </c>
      <c r="C806" s="84" t="s">
        <v>636</v>
      </c>
      <c r="D806" s="82" t="s">
        <v>635</v>
      </c>
      <c r="E806" s="83">
        <v>7980</v>
      </c>
      <c r="F806" s="83" t="s">
        <v>16</v>
      </c>
      <c r="G806" s="83" t="s">
        <v>77</v>
      </c>
      <c r="H806" s="83" t="s">
        <v>14</v>
      </c>
      <c r="I806" s="83" t="s">
        <v>13</v>
      </c>
      <c r="J806" s="83">
        <v>40</v>
      </c>
      <c r="K806" s="84"/>
      <c r="L806" s="83" t="s">
        <v>26</v>
      </c>
      <c r="M806" s="83" t="s">
        <v>49</v>
      </c>
      <c r="N806" s="85">
        <v>45972</v>
      </c>
      <c r="O806" s="86" t="s">
        <v>10</v>
      </c>
      <c r="P806" s="85" t="s">
        <v>0</v>
      </c>
      <c r="Q806" s="91" t="s">
        <v>1174</v>
      </c>
      <c r="R806" s="87"/>
      <c r="S806" s="30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</row>
    <row r="807" spans="2:37" ht="16.2" x14ac:dyDescent="0.3">
      <c r="B807" s="80">
        <v>799</v>
      </c>
      <c r="C807" s="84" t="s">
        <v>239</v>
      </c>
      <c r="D807" s="82" t="s">
        <v>238</v>
      </c>
      <c r="E807" s="83">
        <v>7981</v>
      </c>
      <c r="F807" s="84" t="s">
        <v>28</v>
      </c>
      <c r="G807" s="84" t="s">
        <v>237</v>
      </c>
      <c r="H807" s="84" t="s">
        <v>14</v>
      </c>
      <c r="I807" s="84" t="s">
        <v>13</v>
      </c>
      <c r="J807" s="84">
        <v>55</v>
      </c>
      <c r="K807" s="84"/>
      <c r="L807" s="84" t="s">
        <v>12</v>
      </c>
      <c r="M807" s="84" t="s">
        <v>49</v>
      </c>
      <c r="N807" s="85">
        <v>45972</v>
      </c>
      <c r="O807" s="86" t="s">
        <v>25</v>
      </c>
      <c r="P807" s="97" t="s">
        <v>20</v>
      </c>
      <c r="Q807" s="91">
        <v>995331532</v>
      </c>
      <c r="R807" s="91"/>
      <c r="S807" s="30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</row>
    <row r="808" spans="2:37" ht="16.2" x14ac:dyDescent="0.3">
      <c r="B808" s="80">
        <v>800</v>
      </c>
      <c r="C808" s="84" t="s">
        <v>236</v>
      </c>
      <c r="D808" s="82" t="s">
        <v>235</v>
      </c>
      <c r="E808" s="83">
        <v>7982</v>
      </c>
      <c r="F808" s="83" t="s">
        <v>16</v>
      </c>
      <c r="G808" s="84" t="s">
        <v>37</v>
      </c>
      <c r="H808" s="83" t="s">
        <v>14</v>
      </c>
      <c r="I808" s="83" t="s">
        <v>13</v>
      </c>
      <c r="J808" s="83">
        <v>45</v>
      </c>
      <c r="K808" s="84"/>
      <c r="L808" s="83" t="s">
        <v>12</v>
      </c>
      <c r="M808" s="83" t="s">
        <v>49</v>
      </c>
      <c r="N808" s="85">
        <v>45972</v>
      </c>
      <c r="O808" s="86" t="s">
        <v>10</v>
      </c>
      <c r="P808" s="85" t="s">
        <v>20</v>
      </c>
      <c r="Q808" s="91">
        <v>995331532</v>
      </c>
      <c r="R808" s="87" t="s">
        <v>952</v>
      </c>
      <c r="S808" s="30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</row>
    <row r="809" spans="2:37" ht="16.2" customHeight="1" x14ac:dyDescent="0.3">
      <c r="B809" s="80">
        <v>801</v>
      </c>
      <c r="C809" s="84" t="s">
        <v>234</v>
      </c>
      <c r="D809" s="82" t="s">
        <v>233</v>
      </c>
      <c r="E809" s="83">
        <v>7983</v>
      </c>
      <c r="F809" s="83" t="s">
        <v>16</v>
      </c>
      <c r="G809" s="83" t="s">
        <v>83</v>
      </c>
      <c r="H809" s="83" t="s">
        <v>14</v>
      </c>
      <c r="I809" s="83" t="s">
        <v>13</v>
      </c>
      <c r="J809" s="83">
        <v>40</v>
      </c>
      <c r="K809" s="84"/>
      <c r="L809" s="83" t="s">
        <v>12</v>
      </c>
      <c r="M809" s="83" t="s">
        <v>49</v>
      </c>
      <c r="N809" s="85">
        <v>45972</v>
      </c>
      <c r="O809" s="86" t="s">
        <v>10</v>
      </c>
      <c r="P809" s="85" t="s">
        <v>9</v>
      </c>
      <c r="Q809" s="91">
        <v>995331532</v>
      </c>
      <c r="R809" s="87" t="s">
        <v>952</v>
      </c>
      <c r="S809" s="30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</row>
    <row r="810" spans="2:37" ht="16.2" customHeight="1" x14ac:dyDescent="0.3">
      <c r="B810" s="80">
        <v>802</v>
      </c>
      <c r="C810" s="84" t="s">
        <v>232</v>
      </c>
      <c r="D810" s="82" t="s">
        <v>231</v>
      </c>
      <c r="E810" s="83">
        <v>7984</v>
      </c>
      <c r="F810" s="83" t="s">
        <v>28</v>
      </c>
      <c r="G810" s="83" t="s">
        <v>15</v>
      </c>
      <c r="H810" s="83" t="s">
        <v>14</v>
      </c>
      <c r="I810" s="83" t="s">
        <v>13</v>
      </c>
      <c r="J810" s="83">
        <v>40</v>
      </c>
      <c r="K810" s="84"/>
      <c r="L810" s="83" t="s">
        <v>12</v>
      </c>
      <c r="M810" s="83" t="s">
        <v>49</v>
      </c>
      <c r="N810" s="85">
        <v>45972</v>
      </c>
      <c r="O810" s="86" t="s">
        <v>10</v>
      </c>
      <c r="P810" s="85" t="s">
        <v>9</v>
      </c>
      <c r="Q810" s="91">
        <v>995331532</v>
      </c>
      <c r="R810" s="87" t="s">
        <v>952</v>
      </c>
      <c r="S810" s="30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</row>
    <row r="811" spans="2:37" ht="16.2" x14ac:dyDescent="0.3">
      <c r="B811" s="80">
        <v>803</v>
      </c>
      <c r="C811" s="97" t="s">
        <v>1175</v>
      </c>
      <c r="D811" s="104" t="s">
        <v>1176</v>
      </c>
      <c r="E811" s="105">
        <v>7985</v>
      </c>
      <c r="F811" s="97" t="s">
        <v>16</v>
      </c>
      <c r="G811" s="97" t="s">
        <v>22</v>
      </c>
      <c r="H811" s="97" t="s">
        <v>14</v>
      </c>
      <c r="I811" s="97" t="s">
        <v>103</v>
      </c>
      <c r="J811" s="97">
        <v>5</v>
      </c>
      <c r="K811" s="97"/>
      <c r="L811" s="97" t="s">
        <v>26</v>
      </c>
      <c r="M811" s="97" t="s">
        <v>49</v>
      </c>
      <c r="N811" s="85">
        <v>45972</v>
      </c>
      <c r="O811" s="86" t="s">
        <v>10</v>
      </c>
      <c r="P811" s="97" t="s">
        <v>20</v>
      </c>
      <c r="Q811" s="91">
        <v>821809667</v>
      </c>
      <c r="R811" s="91"/>
      <c r="S811" s="30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</row>
    <row r="812" spans="2:37" ht="16.2" customHeight="1" x14ac:dyDescent="0.3">
      <c r="B812" s="80">
        <v>804</v>
      </c>
      <c r="C812" s="84" t="s">
        <v>1175</v>
      </c>
      <c r="D812" s="82" t="s">
        <v>1176</v>
      </c>
      <c r="E812" s="83">
        <v>7986</v>
      </c>
      <c r="F812" s="84" t="s">
        <v>16</v>
      </c>
      <c r="G812" s="84" t="s">
        <v>22</v>
      </c>
      <c r="H812" s="84" t="s">
        <v>14</v>
      </c>
      <c r="I812" s="84" t="s">
        <v>281</v>
      </c>
      <c r="J812" s="84">
        <v>25</v>
      </c>
      <c r="K812" s="84"/>
      <c r="L812" s="84" t="s">
        <v>26</v>
      </c>
      <c r="M812" s="84" t="s">
        <v>49</v>
      </c>
      <c r="N812" s="85">
        <v>45972</v>
      </c>
      <c r="O812" s="86" t="s">
        <v>10</v>
      </c>
      <c r="P812" s="97" t="s">
        <v>20</v>
      </c>
      <c r="Q812" s="91">
        <v>821809667</v>
      </c>
      <c r="R812" s="91"/>
      <c r="S812" s="30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</row>
    <row r="813" spans="2:37" ht="16.2" x14ac:dyDescent="0.3">
      <c r="B813" s="80">
        <v>805</v>
      </c>
      <c r="C813" s="84" t="s">
        <v>678</v>
      </c>
      <c r="D813" s="82" t="s">
        <v>677</v>
      </c>
      <c r="E813" s="83">
        <v>7987</v>
      </c>
      <c r="F813" s="84" t="s">
        <v>16</v>
      </c>
      <c r="G813" s="84" t="s">
        <v>174</v>
      </c>
      <c r="H813" s="84" t="s">
        <v>14</v>
      </c>
      <c r="I813" s="84" t="s">
        <v>13</v>
      </c>
      <c r="J813" s="84">
        <v>100</v>
      </c>
      <c r="K813" s="84"/>
      <c r="L813" s="84" t="s">
        <v>12</v>
      </c>
      <c r="M813" s="84" t="s">
        <v>49</v>
      </c>
      <c r="N813" s="85">
        <v>45972</v>
      </c>
      <c r="O813" s="86" t="s">
        <v>25</v>
      </c>
      <c r="P813" s="97" t="s">
        <v>20</v>
      </c>
      <c r="Q813" s="91">
        <v>819667699</v>
      </c>
      <c r="R813" s="91"/>
      <c r="S813" s="30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</row>
    <row r="814" spans="2:37" ht="16.2" x14ac:dyDescent="0.3">
      <c r="B814" s="80">
        <v>806</v>
      </c>
      <c r="C814" s="84" t="s">
        <v>680</v>
      </c>
      <c r="D814" s="82" t="s">
        <v>679</v>
      </c>
      <c r="E814" s="83">
        <v>7988</v>
      </c>
      <c r="F814" s="83" t="s">
        <v>16</v>
      </c>
      <c r="G814" s="83" t="s">
        <v>150</v>
      </c>
      <c r="H814" s="83" t="s">
        <v>14</v>
      </c>
      <c r="I814" s="83" t="s">
        <v>13</v>
      </c>
      <c r="J814" s="83">
        <v>45</v>
      </c>
      <c r="K814" s="83"/>
      <c r="L814" s="83" t="s">
        <v>12</v>
      </c>
      <c r="M814" s="83" t="s">
        <v>49</v>
      </c>
      <c r="N814" s="85">
        <v>45972</v>
      </c>
      <c r="O814" s="86" t="s">
        <v>10</v>
      </c>
      <c r="P814" s="85" t="s">
        <v>20</v>
      </c>
      <c r="Q814" s="91">
        <v>819667699</v>
      </c>
      <c r="R814" s="87"/>
      <c r="S814" s="30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</row>
    <row r="815" spans="2:37" ht="16.2" x14ac:dyDescent="0.3">
      <c r="B815" s="80">
        <v>807</v>
      </c>
      <c r="C815" s="84" t="s">
        <v>682</v>
      </c>
      <c r="D815" s="82" t="s">
        <v>681</v>
      </c>
      <c r="E815" s="83">
        <v>7989</v>
      </c>
      <c r="F815" s="83" t="s">
        <v>16</v>
      </c>
      <c r="G815" s="83" t="s">
        <v>127</v>
      </c>
      <c r="H815" s="83" t="s">
        <v>14</v>
      </c>
      <c r="I815" s="83" t="s">
        <v>13</v>
      </c>
      <c r="J815" s="83">
        <v>55</v>
      </c>
      <c r="K815" s="84"/>
      <c r="L815" s="83" t="s">
        <v>12</v>
      </c>
      <c r="M815" s="83" t="s">
        <v>49</v>
      </c>
      <c r="N815" s="85">
        <v>45972</v>
      </c>
      <c r="O815" s="86" t="s">
        <v>10</v>
      </c>
      <c r="P815" s="85" t="s">
        <v>20</v>
      </c>
      <c r="Q815" s="91" t="s">
        <v>1177</v>
      </c>
      <c r="R815" s="87"/>
      <c r="S815" s="30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</row>
    <row r="816" spans="2:37" ht="16.2" x14ac:dyDescent="0.3">
      <c r="B816" s="80">
        <v>808</v>
      </c>
      <c r="C816" s="84" t="s">
        <v>449</v>
      </c>
      <c r="D816" s="82" t="s">
        <v>448</v>
      </c>
      <c r="E816" s="100">
        <v>7990</v>
      </c>
      <c r="F816" s="99" t="s">
        <v>16</v>
      </c>
      <c r="G816" s="84" t="s">
        <v>83</v>
      </c>
      <c r="H816" s="84" t="s">
        <v>14</v>
      </c>
      <c r="I816" s="84" t="s">
        <v>13</v>
      </c>
      <c r="J816" s="84">
        <v>40</v>
      </c>
      <c r="K816" s="84"/>
      <c r="L816" s="83" t="s">
        <v>12</v>
      </c>
      <c r="M816" s="99" t="s">
        <v>49</v>
      </c>
      <c r="N816" s="85">
        <v>45972</v>
      </c>
      <c r="O816" s="86" t="s">
        <v>10</v>
      </c>
      <c r="P816" s="85" t="s">
        <v>9</v>
      </c>
      <c r="Q816" s="91">
        <v>819667699</v>
      </c>
      <c r="R816" s="87"/>
      <c r="S816" s="30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</row>
    <row r="817" spans="2:37" ht="16.2" x14ac:dyDescent="0.3">
      <c r="B817" s="80">
        <v>809</v>
      </c>
      <c r="C817" s="84" t="s">
        <v>1178</v>
      </c>
      <c r="D817" s="82" t="s">
        <v>1179</v>
      </c>
      <c r="E817" s="83">
        <v>7991</v>
      </c>
      <c r="F817" s="83" t="s">
        <v>16</v>
      </c>
      <c r="G817" s="83" t="s">
        <v>140</v>
      </c>
      <c r="H817" s="83" t="s">
        <v>14</v>
      </c>
      <c r="I817" s="83" t="s">
        <v>13</v>
      </c>
      <c r="J817" s="83">
        <v>55</v>
      </c>
      <c r="K817" s="84"/>
      <c r="L817" s="83" t="s">
        <v>26</v>
      </c>
      <c r="M817" s="83" t="s">
        <v>49</v>
      </c>
      <c r="N817" s="85">
        <v>45972</v>
      </c>
      <c r="O817" s="86" t="s">
        <v>25</v>
      </c>
      <c r="P817" s="85" t="s">
        <v>20</v>
      </c>
      <c r="Q817" s="91">
        <v>974113400</v>
      </c>
      <c r="R817" s="87"/>
      <c r="S817" s="30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</row>
    <row r="818" spans="2:37" ht="16.2" x14ac:dyDescent="0.3">
      <c r="B818" s="80">
        <v>810</v>
      </c>
      <c r="C818" s="84" t="s">
        <v>228</v>
      </c>
      <c r="D818" s="82" t="s">
        <v>227</v>
      </c>
      <c r="E818" s="83">
        <v>7993</v>
      </c>
      <c r="F818" s="83" t="s">
        <v>28</v>
      </c>
      <c r="G818" s="83" t="s">
        <v>130</v>
      </c>
      <c r="H818" s="83" t="s">
        <v>14</v>
      </c>
      <c r="I818" s="83" t="s">
        <v>13</v>
      </c>
      <c r="J818" s="83">
        <v>55</v>
      </c>
      <c r="K818" s="84"/>
      <c r="L818" s="83" t="s">
        <v>26</v>
      </c>
      <c r="M818" s="83" t="s">
        <v>49</v>
      </c>
      <c r="N818" s="85">
        <v>45972</v>
      </c>
      <c r="O818" s="86" t="s">
        <v>10</v>
      </c>
      <c r="P818" s="85" t="s">
        <v>20</v>
      </c>
      <c r="Q818" s="91">
        <v>994014409</v>
      </c>
      <c r="R818" s="87"/>
      <c r="S818" s="30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</row>
    <row r="819" spans="2:37" ht="16.2" x14ac:dyDescent="0.3">
      <c r="B819" s="80">
        <v>811</v>
      </c>
      <c r="C819" s="84" t="s">
        <v>230</v>
      </c>
      <c r="D819" s="82" t="s">
        <v>229</v>
      </c>
      <c r="E819" s="83">
        <v>7994</v>
      </c>
      <c r="F819" s="83" t="s">
        <v>28</v>
      </c>
      <c r="G819" s="83" t="s">
        <v>57</v>
      </c>
      <c r="H819" s="83" t="s">
        <v>14</v>
      </c>
      <c r="I819" s="83" t="s">
        <v>13</v>
      </c>
      <c r="J819" s="83">
        <v>45</v>
      </c>
      <c r="K819" s="84"/>
      <c r="L819" s="83" t="s">
        <v>12</v>
      </c>
      <c r="M819" s="83" t="s">
        <v>49</v>
      </c>
      <c r="N819" s="85">
        <v>45972</v>
      </c>
      <c r="O819" s="86" t="s">
        <v>10</v>
      </c>
      <c r="P819" s="85" t="s">
        <v>20</v>
      </c>
      <c r="Q819" s="91">
        <v>994014409</v>
      </c>
      <c r="R819" s="87"/>
      <c r="S819" s="30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</row>
    <row r="820" spans="2:37" ht="16.2" x14ac:dyDescent="0.3">
      <c r="B820" s="80">
        <v>812</v>
      </c>
      <c r="C820" s="84" t="s">
        <v>117</v>
      </c>
      <c r="D820" s="82" t="s">
        <v>116</v>
      </c>
      <c r="E820" s="83">
        <v>7995</v>
      </c>
      <c r="F820" s="83" t="s">
        <v>16</v>
      </c>
      <c r="G820" s="84" t="s">
        <v>37</v>
      </c>
      <c r="H820" s="83" t="s">
        <v>14</v>
      </c>
      <c r="I820" s="83" t="s">
        <v>1059</v>
      </c>
      <c r="J820" s="83">
        <v>5</v>
      </c>
      <c r="K820" s="84"/>
      <c r="L820" s="83" t="s">
        <v>12</v>
      </c>
      <c r="M820" s="83" t="s">
        <v>49</v>
      </c>
      <c r="N820" s="85">
        <v>45972</v>
      </c>
      <c r="O820" s="86" t="s">
        <v>10</v>
      </c>
      <c r="P820" s="85" t="s">
        <v>20</v>
      </c>
      <c r="Q820" s="91">
        <v>990251755</v>
      </c>
      <c r="R820" s="87"/>
      <c r="S820" s="30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</row>
    <row r="821" spans="2:37" ht="16.2" x14ac:dyDescent="0.3">
      <c r="B821" s="80">
        <v>813</v>
      </c>
      <c r="C821" s="84" t="s">
        <v>644</v>
      </c>
      <c r="D821" s="82" t="s">
        <v>643</v>
      </c>
      <c r="E821" s="83">
        <v>7997</v>
      </c>
      <c r="F821" s="83" t="s">
        <v>16</v>
      </c>
      <c r="G821" s="83" t="s">
        <v>83</v>
      </c>
      <c r="H821" s="83" t="s">
        <v>14</v>
      </c>
      <c r="I821" s="83" t="s">
        <v>103</v>
      </c>
      <c r="J821" s="83">
        <v>3.91</v>
      </c>
      <c r="K821" s="84"/>
      <c r="L821" s="83" t="s">
        <v>12</v>
      </c>
      <c r="M821" s="83" t="s">
        <v>49</v>
      </c>
      <c r="N821" s="85">
        <v>45972</v>
      </c>
      <c r="O821" s="86" t="s">
        <v>10</v>
      </c>
      <c r="P821" s="85" t="s">
        <v>9</v>
      </c>
      <c r="Q821" s="91">
        <v>999301028</v>
      </c>
      <c r="R821" s="87"/>
      <c r="S821" s="30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</row>
    <row r="822" spans="2:37" ht="16.2" x14ac:dyDescent="0.3">
      <c r="B822" s="80">
        <v>814</v>
      </c>
      <c r="C822" s="84" t="s">
        <v>931</v>
      </c>
      <c r="D822" s="82" t="s">
        <v>932</v>
      </c>
      <c r="E822" s="83">
        <v>7998</v>
      </c>
      <c r="F822" s="83" t="s">
        <v>28</v>
      </c>
      <c r="G822" s="83" t="s">
        <v>46</v>
      </c>
      <c r="H822" s="83" t="s">
        <v>14</v>
      </c>
      <c r="I822" s="83" t="s">
        <v>13</v>
      </c>
      <c r="J822" s="83">
        <v>40</v>
      </c>
      <c r="K822" s="84"/>
      <c r="L822" s="83" t="s">
        <v>12</v>
      </c>
      <c r="M822" s="83" t="s">
        <v>49</v>
      </c>
      <c r="N822" s="85">
        <v>45972</v>
      </c>
      <c r="O822" s="86" t="s">
        <v>10</v>
      </c>
      <c r="P822" s="85" t="s">
        <v>0</v>
      </c>
      <c r="Q822" s="91" t="s">
        <v>933</v>
      </c>
      <c r="R822" s="87"/>
      <c r="S822" s="30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</row>
    <row r="823" spans="2:37" ht="16.2" x14ac:dyDescent="0.3">
      <c r="B823" s="80">
        <v>815</v>
      </c>
      <c r="C823" s="84" t="s">
        <v>1180</v>
      </c>
      <c r="D823" s="82" t="s">
        <v>1181</v>
      </c>
      <c r="E823" s="83">
        <v>7999</v>
      </c>
      <c r="F823" s="83" t="s">
        <v>28</v>
      </c>
      <c r="G823" s="83" t="s">
        <v>15</v>
      </c>
      <c r="H823" s="83" t="s">
        <v>14</v>
      </c>
      <c r="I823" s="83" t="s">
        <v>13</v>
      </c>
      <c r="J823" s="83">
        <v>17.5</v>
      </c>
      <c r="K823" s="84"/>
      <c r="L823" s="83" t="s">
        <v>12</v>
      </c>
      <c r="M823" s="83" t="s">
        <v>49</v>
      </c>
      <c r="N823" s="85">
        <v>45972</v>
      </c>
      <c r="O823" s="86" t="s">
        <v>10</v>
      </c>
      <c r="P823" s="85" t="s">
        <v>9</v>
      </c>
      <c r="Q823" s="91">
        <v>991771417</v>
      </c>
      <c r="R823" s="87"/>
      <c r="S823" s="30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</row>
    <row r="824" spans="2:37" ht="16.2" x14ac:dyDescent="0.3">
      <c r="B824" s="80">
        <v>816</v>
      </c>
      <c r="C824" s="84" t="s">
        <v>1182</v>
      </c>
      <c r="D824" s="82" t="s">
        <v>1183</v>
      </c>
      <c r="E824" s="83">
        <v>8000</v>
      </c>
      <c r="F824" s="83"/>
      <c r="G824" s="84" t="s">
        <v>15</v>
      </c>
      <c r="H824" s="83" t="s">
        <v>14</v>
      </c>
      <c r="I824" s="83" t="s">
        <v>13</v>
      </c>
      <c r="J824" s="83">
        <v>17.5</v>
      </c>
      <c r="K824" s="84"/>
      <c r="L824" s="83" t="s">
        <v>12</v>
      </c>
      <c r="M824" s="83" t="s">
        <v>49</v>
      </c>
      <c r="N824" s="85">
        <v>45972</v>
      </c>
      <c r="O824" s="86" t="s">
        <v>25</v>
      </c>
      <c r="P824" s="85" t="s">
        <v>9</v>
      </c>
      <c r="Q824" s="91">
        <v>991771417</v>
      </c>
      <c r="R824" s="87"/>
      <c r="S824" s="30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</row>
    <row r="825" spans="2:37" ht="16.2" x14ac:dyDescent="0.3">
      <c r="B825" s="80">
        <v>817</v>
      </c>
      <c r="C825" s="84" t="s">
        <v>1184</v>
      </c>
      <c r="D825" s="82" t="s">
        <v>1185</v>
      </c>
      <c r="E825" s="83">
        <v>8501</v>
      </c>
      <c r="F825" s="83" t="s">
        <v>16</v>
      </c>
      <c r="G825" s="83" t="s">
        <v>201</v>
      </c>
      <c r="H825" s="83" t="s">
        <v>14</v>
      </c>
      <c r="I825" s="83" t="s">
        <v>13</v>
      </c>
      <c r="J825" s="83">
        <v>17.5</v>
      </c>
      <c r="K825" s="84"/>
      <c r="L825" s="83" t="s">
        <v>12</v>
      </c>
      <c r="M825" s="83" t="s">
        <v>49</v>
      </c>
      <c r="N825" s="85">
        <v>45972</v>
      </c>
      <c r="O825" s="86" t="s">
        <v>25</v>
      </c>
      <c r="P825" s="85" t="s">
        <v>9</v>
      </c>
      <c r="Q825" s="91">
        <v>991771417</v>
      </c>
      <c r="R825" s="87"/>
      <c r="S825" s="30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</row>
    <row r="826" spans="2:37" ht="16.2" x14ac:dyDescent="0.3">
      <c r="B826" s="80">
        <v>818</v>
      </c>
      <c r="C826" s="84" t="s">
        <v>1186</v>
      </c>
      <c r="D826" s="82" t="s">
        <v>1187</v>
      </c>
      <c r="E826" s="83">
        <v>8502</v>
      </c>
      <c r="F826" s="83" t="s">
        <v>16</v>
      </c>
      <c r="G826" s="83" t="s">
        <v>40</v>
      </c>
      <c r="H826" s="83" t="s">
        <v>14</v>
      </c>
      <c r="I826" s="83" t="s">
        <v>13</v>
      </c>
      <c r="J826" s="83">
        <v>17.5</v>
      </c>
      <c r="K826" s="84"/>
      <c r="L826" s="83" t="s">
        <v>26</v>
      </c>
      <c r="M826" s="83" t="s">
        <v>49</v>
      </c>
      <c r="N826" s="85">
        <v>45972</v>
      </c>
      <c r="O826" s="86" t="s">
        <v>25</v>
      </c>
      <c r="P826" s="85" t="s">
        <v>0</v>
      </c>
      <c r="Q826" s="91">
        <v>991771417</v>
      </c>
      <c r="R826" s="87"/>
      <c r="S826" s="30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</row>
    <row r="827" spans="2:37" ht="16.2" x14ac:dyDescent="0.3">
      <c r="B827" s="80">
        <v>819</v>
      </c>
      <c r="C827" s="84" t="s">
        <v>1188</v>
      </c>
      <c r="D827" s="82" t="s">
        <v>1189</v>
      </c>
      <c r="E827" s="83">
        <v>8503</v>
      </c>
      <c r="F827" s="83" t="s">
        <v>16</v>
      </c>
      <c r="G827" s="83" t="s">
        <v>80</v>
      </c>
      <c r="H827" s="83" t="s">
        <v>14</v>
      </c>
      <c r="I827" s="83" t="s">
        <v>13</v>
      </c>
      <c r="J827" s="83">
        <v>40</v>
      </c>
      <c r="K827" s="84"/>
      <c r="L827" s="83" t="s">
        <v>26</v>
      </c>
      <c r="M827" s="83" t="s">
        <v>49</v>
      </c>
      <c r="N827" s="85">
        <v>45972</v>
      </c>
      <c r="O827" s="86" t="s">
        <v>25</v>
      </c>
      <c r="P827" s="85" t="s">
        <v>9</v>
      </c>
      <c r="Q827" s="91">
        <v>997824934</v>
      </c>
      <c r="R827" s="87"/>
      <c r="S827" s="30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</row>
    <row r="828" spans="2:37" ht="16.2" x14ac:dyDescent="0.3">
      <c r="B828" s="80">
        <v>820</v>
      </c>
      <c r="C828" s="84" t="s">
        <v>591</v>
      </c>
      <c r="D828" s="82" t="s">
        <v>590</v>
      </c>
      <c r="E828" s="83">
        <v>8504</v>
      </c>
      <c r="F828" s="83" t="s">
        <v>16</v>
      </c>
      <c r="G828" s="83" t="s">
        <v>201</v>
      </c>
      <c r="H828" s="83" t="s">
        <v>14</v>
      </c>
      <c r="I828" s="83" t="s">
        <v>21</v>
      </c>
      <c r="J828" s="83">
        <v>40</v>
      </c>
      <c r="K828" s="84"/>
      <c r="L828" s="83" t="s">
        <v>26</v>
      </c>
      <c r="M828" s="83" t="s">
        <v>49</v>
      </c>
      <c r="N828" s="85">
        <v>45972</v>
      </c>
      <c r="O828" s="86" t="s">
        <v>10</v>
      </c>
      <c r="P828" s="85" t="s">
        <v>9</v>
      </c>
      <c r="Q828" s="91">
        <v>993235503</v>
      </c>
      <c r="R828" s="87"/>
      <c r="S828" s="30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</row>
    <row r="829" spans="2:37" ht="16.2" x14ac:dyDescent="0.3">
      <c r="B829" s="80">
        <v>821</v>
      </c>
      <c r="C829" s="84" t="s">
        <v>587</v>
      </c>
      <c r="D829" s="82" t="s">
        <v>1190</v>
      </c>
      <c r="E829" s="83">
        <v>8505</v>
      </c>
      <c r="F829" s="83" t="s">
        <v>16</v>
      </c>
      <c r="G829" s="83" t="s">
        <v>80</v>
      </c>
      <c r="H829" s="83" t="s">
        <v>14</v>
      </c>
      <c r="I829" s="83" t="s">
        <v>21</v>
      </c>
      <c r="J829" s="83">
        <v>40</v>
      </c>
      <c r="K829" s="84"/>
      <c r="L829" s="83" t="s">
        <v>26</v>
      </c>
      <c r="M829" s="83" t="s">
        <v>49</v>
      </c>
      <c r="N829" s="85">
        <v>45972</v>
      </c>
      <c r="O829" s="86" t="s">
        <v>10</v>
      </c>
      <c r="P829" s="85" t="s">
        <v>9</v>
      </c>
      <c r="Q829" s="91" t="s">
        <v>1191</v>
      </c>
      <c r="R829" s="87"/>
      <c r="S829" s="30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</row>
    <row r="830" spans="2:37" ht="16.2" x14ac:dyDescent="0.3">
      <c r="B830" s="80">
        <v>822</v>
      </c>
      <c r="C830" s="84" t="s">
        <v>589</v>
      </c>
      <c r="D830" s="82" t="s">
        <v>588</v>
      </c>
      <c r="E830" s="83">
        <v>8506</v>
      </c>
      <c r="F830" s="83" t="s">
        <v>28</v>
      </c>
      <c r="G830" s="83" t="s">
        <v>46</v>
      </c>
      <c r="H830" s="83" t="s">
        <v>14</v>
      </c>
      <c r="I830" s="83" t="s">
        <v>21</v>
      </c>
      <c r="J830" s="83">
        <v>40</v>
      </c>
      <c r="K830" s="84"/>
      <c r="L830" s="83" t="s">
        <v>26</v>
      </c>
      <c r="M830" s="83" t="s">
        <v>49</v>
      </c>
      <c r="N830" s="85">
        <v>45972</v>
      </c>
      <c r="O830" s="86" t="s">
        <v>10</v>
      </c>
      <c r="P830" s="85" t="s">
        <v>0</v>
      </c>
      <c r="Q830" s="91" t="s">
        <v>1191</v>
      </c>
      <c r="R830" s="87"/>
      <c r="S830" s="30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</row>
    <row r="831" spans="2:37" ht="16.2" x14ac:dyDescent="0.3">
      <c r="B831" s="80">
        <v>823</v>
      </c>
      <c r="C831" s="84" t="s">
        <v>182</v>
      </c>
      <c r="D831" s="82" t="s">
        <v>181</v>
      </c>
      <c r="E831" s="83">
        <v>8507</v>
      </c>
      <c r="F831" s="83" t="s">
        <v>16</v>
      </c>
      <c r="G831" s="83" t="s">
        <v>146</v>
      </c>
      <c r="H831" s="83" t="s">
        <v>14</v>
      </c>
      <c r="I831" s="83" t="s">
        <v>103</v>
      </c>
      <c r="J831" s="83">
        <v>5</v>
      </c>
      <c r="K831" s="84"/>
      <c r="L831" s="83" t="s">
        <v>12</v>
      </c>
      <c r="M831" s="83" t="s">
        <v>49</v>
      </c>
      <c r="N831" s="85">
        <v>45972</v>
      </c>
      <c r="O831" s="86" t="s">
        <v>10</v>
      </c>
      <c r="P831" s="85" t="s">
        <v>20</v>
      </c>
      <c r="Q831" s="91">
        <v>972092937</v>
      </c>
      <c r="R831" s="87"/>
      <c r="S831" s="30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</row>
    <row r="832" spans="2:37" ht="16.2" x14ac:dyDescent="0.3">
      <c r="B832" s="80">
        <v>824</v>
      </c>
      <c r="C832" s="84" t="s">
        <v>182</v>
      </c>
      <c r="D832" s="82" t="s">
        <v>181</v>
      </c>
      <c r="E832" s="83">
        <v>8508</v>
      </c>
      <c r="F832" s="83" t="s">
        <v>16</v>
      </c>
      <c r="G832" s="83" t="s">
        <v>146</v>
      </c>
      <c r="H832" s="83" t="s">
        <v>14</v>
      </c>
      <c r="I832" s="83" t="s">
        <v>281</v>
      </c>
      <c r="J832" s="83">
        <v>33.69</v>
      </c>
      <c r="K832" s="84"/>
      <c r="L832" s="83" t="s">
        <v>12</v>
      </c>
      <c r="M832" s="83" t="s">
        <v>49</v>
      </c>
      <c r="N832" s="85">
        <v>45972</v>
      </c>
      <c r="O832" s="86" t="s">
        <v>10</v>
      </c>
      <c r="P832" s="85" t="s">
        <v>20</v>
      </c>
      <c r="Q832" s="91">
        <v>972092937</v>
      </c>
      <c r="R832" s="87"/>
      <c r="S832" s="30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</row>
    <row r="833" spans="2:37" ht="16.2" x14ac:dyDescent="0.3">
      <c r="B833" s="80">
        <v>825</v>
      </c>
      <c r="C833" s="84" t="s">
        <v>819</v>
      </c>
      <c r="D833" s="82" t="s">
        <v>818</v>
      </c>
      <c r="E833" s="100">
        <v>8509</v>
      </c>
      <c r="F833" s="99" t="s">
        <v>28</v>
      </c>
      <c r="G833" s="83" t="s">
        <v>161</v>
      </c>
      <c r="H833" s="83" t="s">
        <v>14</v>
      </c>
      <c r="I833" s="84" t="s">
        <v>21</v>
      </c>
      <c r="J833" s="84">
        <v>100</v>
      </c>
      <c r="K833" s="84"/>
      <c r="L833" s="83" t="s">
        <v>12</v>
      </c>
      <c r="M833" s="99" t="s">
        <v>49</v>
      </c>
      <c r="N833" s="85">
        <v>45972</v>
      </c>
      <c r="O833" s="86" t="s">
        <v>25</v>
      </c>
      <c r="P833" s="85" t="s">
        <v>20</v>
      </c>
      <c r="Q833" s="91">
        <v>993138694</v>
      </c>
      <c r="R833" s="87"/>
      <c r="S833" s="30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</row>
    <row r="834" spans="2:37" ht="16.2" x14ac:dyDescent="0.3">
      <c r="B834" s="80">
        <v>826</v>
      </c>
      <c r="C834" s="84" t="s">
        <v>1192</v>
      </c>
      <c r="D834" s="82" t="s">
        <v>1193</v>
      </c>
      <c r="E834" s="83">
        <v>8510</v>
      </c>
      <c r="F834" s="83" t="s">
        <v>16</v>
      </c>
      <c r="G834" s="83" t="s">
        <v>201</v>
      </c>
      <c r="H834" s="83" t="s">
        <v>14</v>
      </c>
      <c r="I834" s="83" t="s">
        <v>13</v>
      </c>
      <c r="J834" s="83">
        <v>40</v>
      </c>
      <c r="K834" s="84"/>
      <c r="L834" s="83" t="s">
        <v>26</v>
      </c>
      <c r="M834" s="83" t="s">
        <v>49</v>
      </c>
      <c r="N834" s="85">
        <v>45972</v>
      </c>
      <c r="O834" s="86" t="s">
        <v>25</v>
      </c>
      <c r="P834" s="85" t="s">
        <v>9</v>
      </c>
      <c r="Q834" s="91" t="s">
        <v>1194</v>
      </c>
      <c r="R834" s="87"/>
      <c r="S834" s="30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</row>
    <row r="835" spans="2:37" ht="16.2" x14ac:dyDescent="0.3">
      <c r="B835" s="80">
        <v>827</v>
      </c>
      <c r="C835" s="84" t="s">
        <v>615</v>
      </c>
      <c r="D835" s="82" t="s">
        <v>614</v>
      </c>
      <c r="E835" s="83">
        <v>8511</v>
      </c>
      <c r="F835" s="83" t="s">
        <v>28</v>
      </c>
      <c r="G835" s="83" t="s">
        <v>27</v>
      </c>
      <c r="H835" s="83" t="s">
        <v>14</v>
      </c>
      <c r="I835" s="83" t="s">
        <v>13</v>
      </c>
      <c r="J835" s="83">
        <v>55</v>
      </c>
      <c r="K835" s="84"/>
      <c r="L835" s="83" t="s">
        <v>12</v>
      </c>
      <c r="M835" s="83" t="s">
        <v>49</v>
      </c>
      <c r="N835" s="85">
        <v>45972</v>
      </c>
      <c r="O835" s="86" t="s">
        <v>25</v>
      </c>
      <c r="P835" s="85" t="s">
        <v>20</v>
      </c>
      <c r="Q835" s="91">
        <v>970905488</v>
      </c>
      <c r="R835" s="87"/>
      <c r="S835" s="30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</row>
    <row r="836" spans="2:37" ht="16.2" x14ac:dyDescent="0.3">
      <c r="B836" s="80">
        <v>828</v>
      </c>
      <c r="C836" s="84" t="s">
        <v>247</v>
      </c>
      <c r="D836" s="82" t="s">
        <v>246</v>
      </c>
      <c r="E836" s="83">
        <v>8512</v>
      </c>
      <c r="F836" s="83"/>
      <c r="G836" s="83" t="s">
        <v>97</v>
      </c>
      <c r="H836" s="83" t="s">
        <v>14</v>
      </c>
      <c r="I836" s="83" t="s">
        <v>13</v>
      </c>
      <c r="J836" s="83">
        <v>80</v>
      </c>
      <c r="K836" s="84"/>
      <c r="L836" s="83" t="s">
        <v>26</v>
      </c>
      <c r="M836" s="83" t="s">
        <v>49</v>
      </c>
      <c r="N836" s="85">
        <v>45972</v>
      </c>
      <c r="O836" s="86" t="s">
        <v>25</v>
      </c>
      <c r="P836" s="85" t="s">
        <v>20</v>
      </c>
      <c r="Q836" s="91">
        <v>903931601</v>
      </c>
      <c r="R836" s="87"/>
      <c r="S836" s="30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</row>
    <row r="837" spans="2:37" ht="16.2" x14ac:dyDescent="0.3">
      <c r="B837" s="80">
        <v>829</v>
      </c>
      <c r="C837" s="84" t="s">
        <v>358</v>
      </c>
      <c r="D837" s="82" t="s">
        <v>357</v>
      </c>
      <c r="E837" s="83">
        <v>8513</v>
      </c>
      <c r="F837" s="83" t="s">
        <v>16</v>
      </c>
      <c r="G837" s="83" t="s">
        <v>72</v>
      </c>
      <c r="H837" s="83" t="s">
        <v>14</v>
      </c>
      <c r="I837" s="83" t="s">
        <v>13</v>
      </c>
      <c r="J837" s="83">
        <v>55</v>
      </c>
      <c r="K837" s="84"/>
      <c r="L837" s="83" t="s">
        <v>12</v>
      </c>
      <c r="M837" s="83" t="s">
        <v>49</v>
      </c>
      <c r="N837" s="85">
        <v>45972</v>
      </c>
      <c r="O837" s="86" t="s">
        <v>25</v>
      </c>
      <c r="P837" s="85" t="s">
        <v>20</v>
      </c>
      <c r="Q837" s="91" t="s">
        <v>356</v>
      </c>
      <c r="R837" s="87"/>
      <c r="S837" s="30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</row>
    <row r="838" spans="2:37" ht="16.2" x14ac:dyDescent="0.3">
      <c r="B838" s="80">
        <v>830</v>
      </c>
      <c r="C838" s="84" t="s">
        <v>519</v>
      </c>
      <c r="D838" s="82" t="s">
        <v>518</v>
      </c>
      <c r="E838" s="83">
        <v>8514</v>
      </c>
      <c r="F838" s="83" t="s">
        <v>16</v>
      </c>
      <c r="G838" s="83" t="s">
        <v>37</v>
      </c>
      <c r="H838" s="83" t="s">
        <v>14</v>
      </c>
      <c r="I838" s="83" t="s">
        <v>13</v>
      </c>
      <c r="J838" s="83">
        <v>45</v>
      </c>
      <c r="K838" s="83"/>
      <c r="L838" s="83" t="s">
        <v>12</v>
      </c>
      <c r="M838" s="83" t="s">
        <v>49</v>
      </c>
      <c r="N838" s="85">
        <v>45972</v>
      </c>
      <c r="O838" s="86" t="s">
        <v>10</v>
      </c>
      <c r="P838" s="85" t="s">
        <v>20</v>
      </c>
      <c r="Q838" s="91">
        <v>896618714</v>
      </c>
      <c r="R838" s="87"/>
      <c r="S838" s="30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</row>
    <row r="839" spans="2:37" ht="16.2" x14ac:dyDescent="0.3">
      <c r="B839" s="80">
        <v>831</v>
      </c>
      <c r="C839" s="84" t="s">
        <v>525</v>
      </c>
      <c r="D839" s="82" t="s">
        <v>524</v>
      </c>
      <c r="E839" s="83">
        <v>8515</v>
      </c>
      <c r="F839" s="83" t="s">
        <v>16</v>
      </c>
      <c r="G839" s="83" t="s">
        <v>83</v>
      </c>
      <c r="H839" s="83" t="s">
        <v>14</v>
      </c>
      <c r="I839" s="83" t="s">
        <v>13</v>
      </c>
      <c r="J839" s="83">
        <v>40</v>
      </c>
      <c r="K839" s="83"/>
      <c r="L839" s="83" t="s">
        <v>26</v>
      </c>
      <c r="M839" s="83" t="s">
        <v>49</v>
      </c>
      <c r="N839" s="85">
        <v>45972</v>
      </c>
      <c r="O839" s="86" t="s">
        <v>10</v>
      </c>
      <c r="P839" s="85" t="s">
        <v>9</v>
      </c>
      <c r="Q839" s="91" t="s">
        <v>523</v>
      </c>
      <c r="R839" s="87"/>
      <c r="S839" s="30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</row>
    <row r="840" spans="2:37" ht="16.2" x14ac:dyDescent="0.3">
      <c r="B840" s="80">
        <v>832</v>
      </c>
      <c r="C840" s="84" t="s">
        <v>522</v>
      </c>
      <c r="D840" s="82" t="s">
        <v>521</v>
      </c>
      <c r="E840" s="83">
        <v>8516</v>
      </c>
      <c r="F840" s="83" t="s">
        <v>28</v>
      </c>
      <c r="G840" s="83" t="s">
        <v>50</v>
      </c>
      <c r="H840" s="83" t="s">
        <v>14</v>
      </c>
      <c r="I840" s="83" t="s">
        <v>281</v>
      </c>
      <c r="J840" s="83">
        <v>35</v>
      </c>
      <c r="K840" s="83"/>
      <c r="L840" s="83" t="s">
        <v>26</v>
      </c>
      <c r="M840" s="83" t="s">
        <v>49</v>
      </c>
      <c r="N840" s="85">
        <v>45972</v>
      </c>
      <c r="O840" s="86" t="s">
        <v>10</v>
      </c>
      <c r="P840" s="85" t="s">
        <v>9</v>
      </c>
      <c r="Q840" s="91" t="s">
        <v>520</v>
      </c>
      <c r="R840" s="87"/>
      <c r="S840" s="30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</row>
    <row r="841" spans="2:37" ht="16.2" x14ac:dyDescent="0.3">
      <c r="B841" s="80">
        <v>833</v>
      </c>
      <c r="C841" s="84" t="s">
        <v>1195</v>
      </c>
      <c r="D841" s="82" t="s">
        <v>1196</v>
      </c>
      <c r="E841" s="83">
        <v>8517</v>
      </c>
      <c r="F841" s="83" t="s">
        <v>16</v>
      </c>
      <c r="G841" s="83" t="s">
        <v>37</v>
      </c>
      <c r="H841" s="83" t="s">
        <v>14</v>
      </c>
      <c r="I841" s="83" t="s">
        <v>13</v>
      </c>
      <c r="J841" s="83">
        <v>45</v>
      </c>
      <c r="K841" s="83"/>
      <c r="L841" s="83" t="s">
        <v>26</v>
      </c>
      <c r="M841" s="83" t="s">
        <v>49</v>
      </c>
      <c r="N841" s="85">
        <v>45972</v>
      </c>
      <c r="O841" s="86" t="s">
        <v>10</v>
      </c>
      <c r="P841" s="85" t="s">
        <v>20</v>
      </c>
      <c r="Q841" s="91" t="s">
        <v>1197</v>
      </c>
      <c r="R841" s="87"/>
      <c r="S841" s="30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</row>
    <row r="842" spans="2:37" ht="16.2" x14ac:dyDescent="0.3">
      <c r="B842" s="80">
        <v>834</v>
      </c>
      <c r="C842" s="84" t="s">
        <v>126</v>
      </c>
      <c r="D842" s="82" t="s">
        <v>125</v>
      </c>
      <c r="E842" s="83">
        <v>8518</v>
      </c>
      <c r="F842" s="83" t="s">
        <v>28</v>
      </c>
      <c r="G842" s="83" t="s">
        <v>124</v>
      </c>
      <c r="H842" s="83" t="s">
        <v>14</v>
      </c>
      <c r="I842" s="83" t="s">
        <v>13</v>
      </c>
      <c r="J842" s="83">
        <v>40</v>
      </c>
      <c r="K842" s="84"/>
      <c r="L842" s="83" t="s">
        <v>12</v>
      </c>
      <c r="M842" s="83" t="s">
        <v>49</v>
      </c>
      <c r="N842" s="85">
        <v>45972</v>
      </c>
      <c r="O842" s="86" t="s">
        <v>10</v>
      </c>
      <c r="P842" s="85" t="s">
        <v>20</v>
      </c>
      <c r="Q842" s="91"/>
      <c r="R842" s="87"/>
      <c r="S842" s="30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</row>
    <row r="843" spans="2:37" ht="16.2" x14ac:dyDescent="0.3">
      <c r="B843" s="80">
        <v>835</v>
      </c>
      <c r="C843" s="84" t="s">
        <v>1198</v>
      </c>
      <c r="D843" s="82" t="s">
        <v>1199</v>
      </c>
      <c r="E843" s="83">
        <v>8519</v>
      </c>
      <c r="F843" s="83" t="s">
        <v>28</v>
      </c>
      <c r="G843" s="83" t="s">
        <v>57</v>
      </c>
      <c r="H843" s="83" t="s">
        <v>14</v>
      </c>
      <c r="I843" s="83" t="s">
        <v>13</v>
      </c>
      <c r="J843" s="83">
        <v>45</v>
      </c>
      <c r="K843" s="84"/>
      <c r="L843" s="83" t="s">
        <v>26</v>
      </c>
      <c r="M843" s="83" t="s">
        <v>49</v>
      </c>
      <c r="N843" s="85">
        <v>45972</v>
      </c>
      <c r="O843" s="86" t="s">
        <v>25</v>
      </c>
      <c r="P843" s="85" t="s">
        <v>20</v>
      </c>
      <c r="Q843" s="91">
        <v>991270700</v>
      </c>
      <c r="R843" s="87"/>
      <c r="S843" s="30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</row>
    <row r="844" spans="2:37" ht="16.2" x14ac:dyDescent="0.3">
      <c r="B844" s="80">
        <v>836</v>
      </c>
      <c r="C844" s="84" t="s">
        <v>611</v>
      </c>
      <c r="D844" s="82" t="s">
        <v>610</v>
      </c>
      <c r="E844" s="83">
        <v>8520</v>
      </c>
      <c r="F844" s="83" t="s">
        <v>28</v>
      </c>
      <c r="G844" s="83" t="s">
        <v>77</v>
      </c>
      <c r="H844" s="83" t="s">
        <v>14</v>
      </c>
      <c r="I844" s="83" t="s">
        <v>13</v>
      </c>
      <c r="J844" s="83">
        <v>40</v>
      </c>
      <c r="K844" s="84"/>
      <c r="L844" s="83" t="s">
        <v>12</v>
      </c>
      <c r="M844" s="83" t="s">
        <v>49</v>
      </c>
      <c r="N844" s="85">
        <v>45972</v>
      </c>
      <c r="O844" s="86" t="s">
        <v>10</v>
      </c>
      <c r="P844" s="85" t="s">
        <v>0</v>
      </c>
      <c r="Q844" s="91" t="s">
        <v>1200</v>
      </c>
      <c r="R844" s="87"/>
      <c r="S844" s="30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</row>
    <row r="845" spans="2:37" ht="16.2" x14ac:dyDescent="0.3">
      <c r="B845" s="80">
        <v>837</v>
      </c>
      <c r="C845" s="84" t="s">
        <v>609</v>
      </c>
      <c r="D845" s="82" t="s">
        <v>608</v>
      </c>
      <c r="E845" s="83">
        <v>8521</v>
      </c>
      <c r="F845" s="83" t="s">
        <v>28</v>
      </c>
      <c r="G845" s="83" t="s">
        <v>46</v>
      </c>
      <c r="H845" s="83" t="s">
        <v>14</v>
      </c>
      <c r="I845" s="83" t="s">
        <v>13</v>
      </c>
      <c r="J845" s="83">
        <v>40</v>
      </c>
      <c r="K845" s="84"/>
      <c r="L845" s="83" t="s">
        <v>26</v>
      </c>
      <c r="M845" s="83" t="s">
        <v>49</v>
      </c>
      <c r="N845" s="85">
        <v>45972</v>
      </c>
      <c r="O845" s="86" t="s">
        <v>10</v>
      </c>
      <c r="P845" s="85" t="s">
        <v>0</v>
      </c>
      <c r="Q845" s="91">
        <v>976650663</v>
      </c>
      <c r="R845" s="87"/>
      <c r="S845" s="30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</row>
    <row r="846" spans="2:37" ht="16.2" x14ac:dyDescent="0.3">
      <c r="B846" s="80">
        <v>838</v>
      </c>
      <c r="C846" s="84" t="s">
        <v>697</v>
      </c>
      <c r="D846" s="82" t="s">
        <v>696</v>
      </c>
      <c r="E846" s="83">
        <v>8522</v>
      </c>
      <c r="F846" s="83" t="s">
        <v>16</v>
      </c>
      <c r="G846" s="83" t="s">
        <v>50</v>
      </c>
      <c r="H846" s="83" t="s">
        <v>14</v>
      </c>
      <c r="I846" s="83" t="s">
        <v>13</v>
      </c>
      <c r="J846" s="83">
        <v>35</v>
      </c>
      <c r="K846" s="84"/>
      <c r="L846" s="83" t="s">
        <v>26</v>
      </c>
      <c r="M846" s="83" t="s">
        <v>49</v>
      </c>
      <c r="N846" s="85">
        <v>45972</v>
      </c>
      <c r="O846" s="86" t="s">
        <v>25</v>
      </c>
      <c r="P846" s="85" t="s">
        <v>9</v>
      </c>
      <c r="Q846" s="91"/>
      <c r="R846" s="87"/>
      <c r="S846" s="30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</row>
    <row r="847" spans="2:37" ht="16.2" x14ac:dyDescent="0.3">
      <c r="B847" s="80">
        <v>839</v>
      </c>
      <c r="C847" s="84" t="s">
        <v>695</v>
      </c>
      <c r="D847" s="82" t="s">
        <v>694</v>
      </c>
      <c r="E847" s="83">
        <v>8523</v>
      </c>
      <c r="F847" s="83" t="s">
        <v>16</v>
      </c>
      <c r="G847" s="83" t="s">
        <v>15</v>
      </c>
      <c r="H847" s="83" t="s">
        <v>14</v>
      </c>
      <c r="I847" s="83" t="s">
        <v>13</v>
      </c>
      <c r="J847" s="83">
        <v>35</v>
      </c>
      <c r="K847" s="84"/>
      <c r="L847" s="83" t="s">
        <v>26</v>
      </c>
      <c r="M847" s="83" t="s">
        <v>49</v>
      </c>
      <c r="N847" s="85">
        <v>45972</v>
      </c>
      <c r="O847" s="86" t="s">
        <v>25</v>
      </c>
      <c r="P847" s="85" t="s">
        <v>9</v>
      </c>
      <c r="Q847" s="91"/>
      <c r="R847" s="87"/>
      <c r="S847" s="30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</row>
    <row r="848" spans="2:37" ht="16.2" x14ac:dyDescent="0.3">
      <c r="B848" s="80">
        <v>840</v>
      </c>
      <c r="C848" s="84" t="s">
        <v>336</v>
      </c>
      <c r="D848" s="82" t="s">
        <v>335</v>
      </c>
      <c r="E848" s="83">
        <v>8524</v>
      </c>
      <c r="F848" s="83" t="s">
        <v>16</v>
      </c>
      <c r="G848" s="83" t="s">
        <v>37</v>
      </c>
      <c r="H848" s="83" t="s">
        <v>14</v>
      </c>
      <c r="I848" s="83" t="s">
        <v>1059</v>
      </c>
      <c r="J848" s="83">
        <v>10</v>
      </c>
      <c r="K848" s="84"/>
      <c r="L848" s="83" t="s">
        <v>12</v>
      </c>
      <c r="M848" s="83" t="s">
        <v>49</v>
      </c>
      <c r="N848" s="85">
        <v>45972</v>
      </c>
      <c r="O848" s="86" t="s">
        <v>10</v>
      </c>
      <c r="P848" s="85" t="s">
        <v>20</v>
      </c>
      <c r="Q848" s="91">
        <v>991818650</v>
      </c>
      <c r="R848" s="87"/>
      <c r="S848" s="30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</row>
    <row r="849" spans="2:37" ht="16.2" x14ac:dyDescent="0.3">
      <c r="B849" s="80">
        <v>841</v>
      </c>
      <c r="C849" s="84" t="s">
        <v>607</v>
      </c>
      <c r="D849" s="82" t="s">
        <v>606</v>
      </c>
      <c r="E849" s="83">
        <v>8525</v>
      </c>
      <c r="F849" s="83" t="s">
        <v>28</v>
      </c>
      <c r="G849" s="83" t="s">
        <v>301</v>
      </c>
      <c r="H849" s="83" t="s">
        <v>14</v>
      </c>
      <c r="I849" s="83" t="s">
        <v>103</v>
      </c>
      <c r="J849" s="83">
        <v>6.31</v>
      </c>
      <c r="K849" s="83"/>
      <c r="L849" s="83"/>
      <c r="M849" s="83" t="s">
        <v>49</v>
      </c>
      <c r="N849" s="85">
        <v>45972</v>
      </c>
      <c r="O849" s="86" t="s">
        <v>25</v>
      </c>
      <c r="P849" s="85" t="s">
        <v>20</v>
      </c>
      <c r="Q849" s="91">
        <v>992456484</v>
      </c>
      <c r="R849" s="87"/>
      <c r="S849" s="30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</row>
    <row r="850" spans="2:37" ht="16.2" x14ac:dyDescent="0.3">
      <c r="B850" s="80">
        <v>842</v>
      </c>
      <c r="C850" s="84" t="s">
        <v>607</v>
      </c>
      <c r="D850" s="82" t="s">
        <v>606</v>
      </c>
      <c r="E850" s="83">
        <v>8526</v>
      </c>
      <c r="F850" s="83" t="s">
        <v>28</v>
      </c>
      <c r="G850" s="84" t="s">
        <v>301</v>
      </c>
      <c r="H850" s="83" t="s">
        <v>14</v>
      </c>
      <c r="I850" s="83" t="s">
        <v>281</v>
      </c>
      <c r="J850" s="83">
        <v>71.3</v>
      </c>
      <c r="K850" s="83"/>
      <c r="L850" s="83"/>
      <c r="M850" s="83" t="s">
        <v>49</v>
      </c>
      <c r="N850" s="85">
        <v>45972</v>
      </c>
      <c r="O850" s="86" t="s">
        <v>25</v>
      </c>
      <c r="P850" s="85" t="s">
        <v>20</v>
      </c>
      <c r="Q850" s="91">
        <v>992456484</v>
      </c>
      <c r="R850" s="87"/>
      <c r="S850" s="30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</row>
    <row r="851" spans="2:37" ht="16.2" x14ac:dyDescent="0.3">
      <c r="B851" s="80">
        <v>843</v>
      </c>
      <c r="C851" s="84" t="s">
        <v>844</v>
      </c>
      <c r="D851" s="82" t="s">
        <v>845</v>
      </c>
      <c r="E851" s="83">
        <v>8527</v>
      </c>
      <c r="F851" s="83" t="s">
        <v>28</v>
      </c>
      <c r="G851" s="83" t="s">
        <v>27</v>
      </c>
      <c r="H851" s="83" t="s">
        <v>14</v>
      </c>
      <c r="I851" s="83" t="s">
        <v>13</v>
      </c>
      <c r="J851" s="83">
        <v>55</v>
      </c>
      <c r="K851" s="84"/>
      <c r="L851" s="83" t="s">
        <v>26</v>
      </c>
      <c r="M851" s="83" t="s">
        <v>49</v>
      </c>
      <c r="N851" s="85">
        <v>45972</v>
      </c>
      <c r="O851" s="86" t="s">
        <v>25</v>
      </c>
      <c r="P851" s="85" t="s">
        <v>20</v>
      </c>
      <c r="Q851" s="91">
        <v>995932124</v>
      </c>
      <c r="R851" s="87"/>
      <c r="S851" s="30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</row>
    <row r="852" spans="2:37" ht="16.2" x14ac:dyDescent="0.3">
      <c r="B852" s="80">
        <v>844</v>
      </c>
      <c r="C852" s="84" t="s">
        <v>1201</v>
      </c>
      <c r="D852" s="82" t="s">
        <v>1202</v>
      </c>
      <c r="E852" s="83">
        <v>7992</v>
      </c>
      <c r="F852" s="84" t="s">
        <v>28</v>
      </c>
      <c r="G852" s="83" t="s">
        <v>100</v>
      </c>
      <c r="H852" s="83" t="s">
        <v>14</v>
      </c>
      <c r="I852" s="83" t="s">
        <v>281</v>
      </c>
      <c r="J852" s="84">
        <v>50</v>
      </c>
      <c r="K852" s="84"/>
      <c r="L852" s="84" t="s">
        <v>26</v>
      </c>
      <c r="M852" s="84" t="s">
        <v>49</v>
      </c>
      <c r="N852" s="85">
        <v>45972</v>
      </c>
      <c r="O852" s="86" t="s">
        <v>10</v>
      </c>
      <c r="P852" s="97" t="s">
        <v>20</v>
      </c>
      <c r="Q852" s="91">
        <v>9789983157</v>
      </c>
      <c r="R852" s="91"/>
      <c r="S852" s="30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</row>
    <row r="853" spans="2:37" ht="16.2" x14ac:dyDescent="0.3">
      <c r="B853" s="80">
        <v>845</v>
      </c>
      <c r="C853" s="84" t="s">
        <v>388</v>
      </c>
      <c r="D853" s="82" t="s">
        <v>387</v>
      </c>
      <c r="E853" s="83">
        <v>7965</v>
      </c>
      <c r="F853" s="84" t="s">
        <v>28</v>
      </c>
      <c r="G853" s="84" t="s">
        <v>83</v>
      </c>
      <c r="H853" s="83" t="s">
        <v>14</v>
      </c>
      <c r="I853" s="83" t="s">
        <v>281</v>
      </c>
      <c r="J853" s="84">
        <v>20</v>
      </c>
      <c r="K853" s="84"/>
      <c r="L853" s="84" t="s">
        <v>26</v>
      </c>
      <c r="M853" s="84" t="s">
        <v>49</v>
      </c>
      <c r="N853" s="85">
        <v>45972</v>
      </c>
      <c r="O853" s="86" t="s">
        <v>1203</v>
      </c>
      <c r="P853" s="97" t="s">
        <v>9</v>
      </c>
      <c r="Q853" s="91">
        <v>973339729</v>
      </c>
      <c r="R853" s="91"/>
      <c r="S853" s="30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</row>
    <row r="854" spans="2:37" ht="16.2" x14ac:dyDescent="0.3">
      <c r="B854" s="80">
        <v>846</v>
      </c>
      <c r="C854" s="84" t="s">
        <v>115</v>
      </c>
      <c r="D854" s="82" t="s">
        <v>114</v>
      </c>
      <c r="E854" s="83">
        <v>7946</v>
      </c>
      <c r="F854" s="84" t="s">
        <v>16</v>
      </c>
      <c r="G854" s="83" t="s">
        <v>113</v>
      </c>
      <c r="H854" s="83" t="s">
        <v>14</v>
      </c>
      <c r="I854" s="83" t="s">
        <v>1059</v>
      </c>
      <c r="J854" s="84">
        <v>5</v>
      </c>
      <c r="K854" s="84"/>
      <c r="L854" s="84" t="s">
        <v>12</v>
      </c>
      <c r="M854" s="84" t="s">
        <v>49</v>
      </c>
      <c r="N854" s="85">
        <v>45972</v>
      </c>
      <c r="O854" s="86" t="s">
        <v>10</v>
      </c>
      <c r="P854" s="97" t="s">
        <v>20</v>
      </c>
      <c r="Q854" s="91" t="s">
        <v>111</v>
      </c>
      <c r="R854" s="91"/>
      <c r="S854" s="30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</row>
    <row r="855" spans="2:37" ht="16.2" x14ac:dyDescent="0.3">
      <c r="B855" s="80">
        <v>847</v>
      </c>
      <c r="C855" s="84" t="s">
        <v>442</v>
      </c>
      <c r="D855" s="82" t="s">
        <v>441</v>
      </c>
      <c r="E855" s="83">
        <v>8528</v>
      </c>
      <c r="F855" s="84" t="s">
        <v>28</v>
      </c>
      <c r="G855" s="83" t="s">
        <v>100</v>
      </c>
      <c r="H855" s="83" t="s">
        <v>14</v>
      </c>
      <c r="I855" s="83" t="s">
        <v>13</v>
      </c>
      <c r="J855" s="84">
        <v>45</v>
      </c>
      <c r="K855" s="84"/>
      <c r="L855" s="84" t="s">
        <v>12</v>
      </c>
      <c r="M855" s="84" t="s">
        <v>11</v>
      </c>
      <c r="N855" s="85">
        <v>45973</v>
      </c>
      <c r="O855" s="86" t="s">
        <v>10</v>
      </c>
      <c r="P855" s="97" t="s">
        <v>20</v>
      </c>
      <c r="Q855" s="91">
        <v>977014941</v>
      </c>
      <c r="R855" s="91"/>
      <c r="S855" s="30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</row>
    <row r="856" spans="2:37" ht="16.2" x14ac:dyDescent="0.3">
      <c r="B856" s="80">
        <v>848</v>
      </c>
      <c r="C856" s="84" t="s">
        <v>132</v>
      </c>
      <c r="D856" s="82" t="s">
        <v>131</v>
      </c>
      <c r="E856" s="83">
        <v>8529</v>
      </c>
      <c r="F856" s="84" t="s">
        <v>28</v>
      </c>
      <c r="G856" s="83" t="s">
        <v>130</v>
      </c>
      <c r="H856" s="83" t="s">
        <v>14</v>
      </c>
      <c r="I856" s="83" t="s">
        <v>281</v>
      </c>
      <c r="J856" s="84">
        <v>47.82</v>
      </c>
      <c r="K856" s="84"/>
      <c r="L856" s="84" t="s">
        <v>26</v>
      </c>
      <c r="M856" s="84" t="s">
        <v>11</v>
      </c>
      <c r="N856" s="85">
        <v>45973</v>
      </c>
      <c r="O856" s="86" t="s">
        <v>10</v>
      </c>
      <c r="P856" s="97" t="s">
        <v>20</v>
      </c>
      <c r="Q856" s="91">
        <v>838354809</v>
      </c>
      <c r="R856" s="91"/>
      <c r="S856" s="30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</row>
    <row r="857" spans="2:37" ht="16.2" x14ac:dyDescent="0.3">
      <c r="B857" s="80">
        <v>849</v>
      </c>
      <c r="C857" s="84" t="s">
        <v>196</v>
      </c>
      <c r="D857" s="82" t="s">
        <v>195</v>
      </c>
      <c r="E857" s="83">
        <v>8530</v>
      </c>
      <c r="F857" s="84" t="s">
        <v>28</v>
      </c>
      <c r="G857" s="84" t="s">
        <v>124</v>
      </c>
      <c r="H857" s="83" t="s">
        <v>14</v>
      </c>
      <c r="I857" s="83" t="s">
        <v>281</v>
      </c>
      <c r="J857" s="84">
        <v>43.47</v>
      </c>
      <c r="K857" s="84"/>
      <c r="L857" s="84" t="s">
        <v>26</v>
      </c>
      <c r="M857" s="84" t="s">
        <v>11</v>
      </c>
      <c r="N857" s="85">
        <v>45973</v>
      </c>
      <c r="O857" s="86" t="s">
        <v>10</v>
      </c>
      <c r="P857" s="97" t="s">
        <v>20</v>
      </c>
      <c r="Q857" s="91">
        <v>826306153</v>
      </c>
      <c r="R857" s="91"/>
      <c r="S857" s="30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</row>
    <row r="858" spans="2:37" ht="16.2" x14ac:dyDescent="0.3">
      <c r="B858" s="80">
        <v>850</v>
      </c>
      <c r="C858" s="84" t="s">
        <v>390</v>
      </c>
      <c r="D858" s="82" t="s">
        <v>389</v>
      </c>
      <c r="E858" s="83">
        <v>8531</v>
      </c>
      <c r="F858" s="84" t="s">
        <v>16</v>
      </c>
      <c r="G858" s="83" t="s">
        <v>22</v>
      </c>
      <c r="H858" s="83" t="s">
        <v>14</v>
      </c>
      <c r="I858" s="83" t="s">
        <v>13</v>
      </c>
      <c r="J858" s="84">
        <v>45</v>
      </c>
      <c r="K858" s="84"/>
      <c r="L858" s="84" t="s">
        <v>26</v>
      </c>
      <c r="M858" s="84" t="s">
        <v>11</v>
      </c>
      <c r="N858" s="85">
        <v>45973</v>
      </c>
      <c r="O858" s="86" t="s">
        <v>10</v>
      </c>
      <c r="P858" s="97" t="s">
        <v>20</v>
      </c>
      <c r="Q858" s="91">
        <v>975557239</v>
      </c>
      <c r="R858" s="91"/>
      <c r="S858" s="30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</row>
    <row r="859" spans="2:37" ht="16.2" x14ac:dyDescent="0.3">
      <c r="B859" s="80">
        <v>851</v>
      </c>
      <c r="C859" s="84" t="s">
        <v>390</v>
      </c>
      <c r="D859" s="82" t="s">
        <v>389</v>
      </c>
      <c r="E859" s="83">
        <v>8532</v>
      </c>
      <c r="F859" s="83" t="s">
        <v>16</v>
      </c>
      <c r="G859" s="83" t="s">
        <v>22</v>
      </c>
      <c r="H859" s="83" t="s">
        <v>14</v>
      </c>
      <c r="I859" s="83" t="s">
        <v>21</v>
      </c>
      <c r="J859" s="83">
        <v>45</v>
      </c>
      <c r="K859" s="84"/>
      <c r="L859" s="83" t="s">
        <v>26</v>
      </c>
      <c r="M859" s="83" t="s">
        <v>11</v>
      </c>
      <c r="N859" s="85">
        <v>45973</v>
      </c>
      <c r="O859" s="86" t="s">
        <v>10</v>
      </c>
      <c r="P859" s="85" t="s">
        <v>20</v>
      </c>
      <c r="Q859" s="91">
        <v>975557239</v>
      </c>
      <c r="R859" s="87"/>
      <c r="S859" s="30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</row>
    <row r="860" spans="2:37" ht="16.2" x14ac:dyDescent="0.3">
      <c r="B860" s="80">
        <v>852</v>
      </c>
      <c r="C860" s="84" t="s">
        <v>42</v>
      </c>
      <c r="D860" s="82" t="s">
        <v>41</v>
      </c>
      <c r="E860" s="83">
        <v>8533</v>
      </c>
      <c r="F860" s="84" t="s">
        <v>28</v>
      </c>
      <c r="G860" s="83" t="s">
        <v>40</v>
      </c>
      <c r="H860" s="83" t="s">
        <v>14</v>
      </c>
      <c r="I860" s="83" t="s">
        <v>13</v>
      </c>
      <c r="J860" s="84">
        <v>40</v>
      </c>
      <c r="K860" s="84"/>
      <c r="L860" s="84" t="s">
        <v>26</v>
      </c>
      <c r="M860" s="84" t="s">
        <v>11</v>
      </c>
      <c r="N860" s="85">
        <v>45973</v>
      </c>
      <c r="O860" s="86" t="s">
        <v>10</v>
      </c>
      <c r="P860" s="97" t="s">
        <v>0</v>
      </c>
      <c r="Q860" s="91">
        <v>975557239</v>
      </c>
      <c r="R860" s="91"/>
      <c r="S860" s="30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</row>
    <row r="861" spans="2:37" ht="16.2" x14ac:dyDescent="0.3">
      <c r="B861" s="80">
        <v>853</v>
      </c>
      <c r="C861" s="84" t="s">
        <v>42</v>
      </c>
      <c r="D861" s="82" t="s">
        <v>41</v>
      </c>
      <c r="E861" s="83">
        <v>8534</v>
      </c>
      <c r="F861" s="83" t="s">
        <v>28</v>
      </c>
      <c r="G861" s="83" t="s">
        <v>40</v>
      </c>
      <c r="H861" s="83" t="s">
        <v>14</v>
      </c>
      <c r="I861" s="83" t="s">
        <v>21</v>
      </c>
      <c r="J861" s="83">
        <v>40</v>
      </c>
      <c r="K861" s="84"/>
      <c r="L861" s="83" t="s">
        <v>26</v>
      </c>
      <c r="M861" s="83" t="s">
        <v>11</v>
      </c>
      <c r="N861" s="85">
        <v>45973</v>
      </c>
      <c r="O861" s="86" t="s">
        <v>10</v>
      </c>
      <c r="P861" s="85" t="s">
        <v>0</v>
      </c>
      <c r="Q861" s="91">
        <v>975557239</v>
      </c>
      <c r="R861" s="87"/>
      <c r="S861" s="30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</row>
    <row r="862" spans="2:37" ht="16.2" x14ac:dyDescent="0.3">
      <c r="B862" s="80">
        <v>854</v>
      </c>
      <c r="C862" s="84" t="s">
        <v>621</v>
      </c>
      <c r="D862" s="82" t="s">
        <v>620</v>
      </c>
      <c r="E862" s="83">
        <v>8535</v>
      </c>
      <c r="F862" s="84" t="s">
        <v>16</v>
      </c>
      <c r="G862" s="83" t="s">
        <v>46</v>
      </c>
      <c r="H862" s="83" t="s">
        <v>14</v>
      </c>
      <c r="I862" s="83" t="s">
        <v>13</v>
      </c>
      <c r="J862" s="84">
        <v>40</v>
      </c>
      <c r="K862" s="84"/>
      <c r="L862" s="84" t="s">
        <v>26</v>
      </c>
      <c r="M862" s="84" t="s">
        <v>11</v>
      </c>
      <c r="N862" s="85">
        <v>45973</v>
      </c>
      <c r="O862" s="86" t="s">
        <v>10</v>
      </c>
      <c r="P862" s="97" t="s">
        <v>0</v>
      </c>
      <c r="Q862" s="91">
        <v>898815317</v>
      </c>
      <c r="R862" s="91"/>
      <c r="S862" s="30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</row>
    <row r="863" spans="2:37" ht="16.2" x14ac:dyDescent="0.3">
      <c r="B863" s="80">
        <v>855</v>
      </c>
      <c r="C863" s="84" t="s">
        <v>411</v>
      </c>
      <c r="D863" s="82" t="s">
        <v>410</v>
      </c>
      <c r="E863" s="83">
        <v>8536</v>
      </c>
      <c r="F863" s="84" t="s">
        <v>16</v>
      </c>
      <c r="G863" s="83" t="s">
        <v>273</v>
      </c>
      <c r="H863" s="83" t="s">
        <v>14</v>
      </c>
      <c r="I863" s="83" t="s">
        <v>13</v>
      </c>
      <c r="J863" s="84">
        <v>45</v>
      </c>
      <c r="K863" s="84"/>
      <c r="L863" s="84" t="s">
        <v>12</v>
      </c>
      <c r="M863" s="84" t="s">
        <v>11</v>
      </c>
      <c r="N863" s="85">
        <v>45973</v>
      </c>
      <c r="O863" s="86" t="s">
        <v>10</v>
      </c>
      <c r="P863" s="97" t="s">
        <v>20</v>
      </c>
      <c r="Q863" s="91" t="s">
        <v>409</v>
      </c>
      <c r="R863" s="91"/>
      <c r="S863" s="30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</row>
    <row r="864" spans="2:37" ht="16.2" x14ac:dyDescent="0.3">
      <c r="B864" s="80">
        <v>856</v>
      </c>
      <c r="C864" s="84" t="s">
        <v>925</v>
      </c>
      <c r="D864" s="82" t="s">
        <v>926</v>
      </c>
      <c r="E864" s="83">
        <v>8537</v>
      </c>
      <c r="F864" s="84" t="s">
        <v>28</v>
      </c>
      <c r="G864" s="84" t="s">
        <v>100</v>
      </c>
      <c r="H864" s="83" t="s">
        <v>14</v>
      </c>
      <c r="I864" s="83" t="s">
        <v>103</v>
      </c>
      <c r="J864" s="84">
        <v>20.38</v>
      </c>
      <c r="K864" s="84"/>
      <c r="L864" s="84" t="s">
        <v>12</v>
      </c>
      <c r="M864" s="84" t="s">
        <v>11</v>
      </c>
      <c r="N864" s="85">
        <v>45973</v>
      </c>
      <c r="O864" s="86" t="s">
        <v>10</v>
      </c>
      <c r="P864" s="97" t="s">
        <v>20</v>
      </c>
      <c r="Q864" s="91">
        <v>974012222</v>
      </c>
      <c r="R864" s="91"/>
      <c r="S864" s="30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</row>
    <row r="865" spans="2:37" ht="16.2" x14ac:dyDescent="0.3">
      <c r="B865" s="80">
        <v>857</v>
      </c>
      <c r="C865" s="84" t="s">
        <v>884</v>
      </c>
      <c r="D865" s="82" t="s">
        <v>885</v>
      </c>
      <c r="E865" s="83">
        <v>8539</v>
      </c>
      <c r="F865" s="84" t="s">
        <v>28</v>
      </c>
      <c r="G865" s="83" t="s">
        <v>34</v>
      </c>
      <c r="H865" s="83" t="s">
        <v>14</v>
      </c>
      <c r="I865" s="83" t="s">
        <v>13</v>
      </c>
      <c r="J865" s="84">
        <v>55</v>
      </c>
      <c r="K865" s="84"/>
      <c r="L865" s="84" t="s">
        <v>12</v>
      </c>
      <c r="M865" s="84" t="s">
        <v>11</v>
      </c>
      <c r="N865" s="85">
        <v>45973</v>
      </c>
      <c r="O865" s="86" t="s">
        <v>10</v>
      </c>
      <c r="P865" s="97" t="s">
        <v>20</v>
      </c>
      <c r="Q865" s="91">
        <v>990203268</v>
      </c>
      <c r="R865" s="91"/>
      <c r="S865" s="30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</row>
    <row r="866" spans="2:37" ht="16.2" x14ac:dyDescent="0.3">
      <c r="B866" s="80">
        <v>858</v>
      </c>
      <c r="C866" s="84" t="s">
        <v>884</v>
      </c>
      <c r="D866" s="82" t="s">
        <v>885</v>
      </c>
      <c r="E866" s="83">
        <v>8540</v>
      </c>
      <c r="F866" s="84" t="s">
        <v>28</v>
      </c>
      <c r="G866" s="83" t="s">
        <v>34</v>
      </c>
      <c r="H866" s="83" t="s">
        <v>14</v>
      </c>
      <c r="I866" s="83" t="s">
        <v>103</v>
      </c>
      <c r="J866" s="84">
        <v>1.3</v>
      </c>
      <c r="K866" s="84"/>
      <c r="L866" s="84" t="s">
        <v>12</v>
      </c>
      <c r="M866" s="84" t="s">
        <v>11</v>
      </c>
      <c r="N866" s="85">
        <v>45973</v>
      </c>
      <c r="O866" s="86" t="s">
        <v>10</v>
      </c>
      <c r="P866" s="97" t="s">
        <v>20</v>
      </c>
      <c r="Q866" s="91">
        <v>990203268</v>
      </c>
      <c r="R866" s="91"/>
      <c r="S866" s="30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</row>
    <row r="867" spans="2:37" ht="16.2" x14ac:dyDescent="0.3">
      <c r="B867" s="80">
        <v>859</v>
      </c>
      <c r="C867" s="84" t="s">
        <v>394</v>
      </c>
      <c r="D867" s="82" t="s">
        <v>393</v>
      </c>
      <c r="E867" s="83">
        <v>8541</v>
      </c>
      <c r="F867" s="83" t="s">
        <v>16</v>
      </c>
      <c r="G867" s="83" t="s">
        <v>50</v>
      </c>
      <c r="H867" s="83" t="s">
        <v>14</v>
      </c>
      <c r="I867" s="83" t="s">
        <v>13</v>
      </c>
      <c r="J867" s="83">
        <v>40</v>
      </c>
      <c r="K867" s="84"/>
      <c r="L867" s="83" t="s">
        <v>12</v>
      </c>
      <c r="M867" s="83" t="s">
        <v>11</v>
      </c>
      <c r="N867" s="85">
        <v>45973</v>
      </c>
      <c r="O867" s="86" t="s">
        <v>10</v>
      </c>
      <c r="P867" s="85" t="s">
        <v>9</v>
      </c>
      <c r="Q867" s="91">
        <v>810025247</v>
      </c>
      <c r="R867" s="87"/>
      <c r="S867" s="30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</row>
    <row r="868" spans="2:37" ht="16.2" x14ac:dyDescent="0.3">
      <c r="B868" s="80">
        <v>860</v>
      </c>
      <c r="C868" s="84" t="s">
        <v>392</v>
      </c>
      <c r="D868" s="82" t="s">
        <v>391</v>
      </c>
      <c r="E868" s="83">
        <v>8542</v>
      </c>
      <c r="F868" s="84" t="s">
        <v>16</v>
      </c>
      <c r="G868" s="83" t="s">
        <v>77</v>
      </c>
      <c r="H868" s="83" t="s">
        <v>14</v>
      </c>
      <c r="I868" s="83" t="s">
        <v>13</v>
      </c>
      <c r="J868" s="84">
        <v>40</v>
      </c>
      <c r="K868" s="84"/>
      <c r="L868" s="84" t="s">
        <v>12</v>
      </c>
      <c r="M868" s="84" t="s">
        <v>11</v>
      </c>
      <c r="N868" s="85">
        <v>45973</v>
      </c>
      <c r="O868" s="86" t="s">
        <v>10</v>
      </c>
      <c r="P868" s="97" t="s">
        <v>0</v>
      </c>
      <c r="Q868" s="91">
        <v>816276094</v>
      </c>
      <c r="R868" s="91"/>
      <c r="S868" s="30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</row>
    <row r="869" spans="2:37" ht="16.2" x14ac:dyDescent="0.3">
      <c r="B869" s="80">
        <v>861</v>
      </c>
      <c r="C869" s="84" t="s">
        <v>626</v>
      </c>
      <c r="D869" s="82" t="s">
        <v>625</v>
      </c>
      <c r="E869" s="83">
        <v>8543</v>
      </c>
      <c r="F869" s="83" t="s">
        <v>28</v>
      </c>
      <c r="G869" s="83" t="s">
        <v>624</v>
      </c>
      <c r="H869" s="83" t="s">
        <v>14</v>
      </c>
      <c r="I869" s="83" t="s">
        <v>13</v>
      </c>
      <c r="J869" s="83">
        <v>55</v>
      </c>
      <c r="K869" s="84"/>
      <c r="L869" s="83" t="s">
        <v>26</v>
      </c>
      <c r="M869" s="83" t="s">
        <v>11</v>
      </c>
      <c r="N869" s="85">
        <v>45973</v>
      </c>
      <c r="O869" s="86" t="s">
        <v>10</v>
      </c>
      <c r="P869" s="85" t="s">
        <v>20</v>
      </c>
      <c r="Q869" s="91">
        <v>900136202</v>
      </c>
      <c r="R869" s="87"/>
      <c r="S869" s="30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</row>
    <row r="870" spans="2:37" ht="16.2" x14ac:dyDescent="0.3">
      <c r="B870" s="80">
        <v>862</v>
      </c>
      <c r="C870" s="84" t="s">
        <v>638</v>
      </c>
      <c r="D870" s="82" t="s">
        <v>637</v>
      </c>
      <c r="E870" s="83">
        <v>8544</v>
      </c>
      <c r="F870" s="83" t="s">
        <v>16</v>
      </c>
      <c r="G870" s="83" t="s">
        <v>185</v>
      </c>
      <c r="H870" s="83" t="s">
        <v>14</v>
      </c>
      <c r="I870" s="83" t="s">
        <v>1059</v>
      </c>
      <c r="J870" s="83">
        <v>25</v>
      </c>
      <c r="K870" s="84"/>
      <c r="L870" s="83" t="s">
        <v>26</v>
      </c>
      <c r="M870" s="83" t="s">
        <v>11</v>
      </c>
      <c r="N870" s="85">
        <v>45973</v>
      </c>
      <c r="O870" s="86" t="s">
        <v>10</v>
      </c>
      <c r="P870" s="85" t="s">
        <v>20</v>
      </c>
      <c r="Q870" s="91">
        <v>977352240</v>
      </c>
      <c r="R870" s="87"/>
      <c r="S870" s="30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</row>
    <row r="871" spans="2:37" ht="16.2" x14ac:dyDescent="0.3">
      <c r="B871" s="80">
        <v>863</v>
      </c>
      <c r="C871" s="84" t="s">
        <v>398</v>
      </c>
      <c r="D871" s="82" t="s">
        <v>397</v>
      </c>
      <c r="E871" s="83">
        <v>8545</v>
      </c>
      <c r="F871" s="84" t="s">
        <v>16</v>
      </c>
      <c r="G871" s="83" t="s">
        <v>22</v>
      </c>
      <c r="H871" s="83" t="s">
        <v>14</v>
      </c>
      <c r="I871" s="83" t="s">
        <v>13</v>
      </c>
      <c r="J871" s="84">
        <v>45</v>
      </c>
      <c r="K871" s="84"/>
      <c r="L871" s="84" t="s">
        <v>12</v>
      </c>
      <c r="M871" s="84" t="s">
        <v>11</v>
      </c>
      <c r="N871" s="85">
        <v>45973</v>
      </c>
      <c r="O871" s="86" t="s">
        <v>10</v>
      </c>
      <c r="P871" s="97" t="s">
        <v>20</v>
      </c>
      <c r="Q871" s="91"/>
      <c r="R871" s="91"/>
      <c r="S871" s="30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</row>
    <row r="872" spans="2:37" ht="16.2" x14ac:dyDescent="0.3">
      <c r="B872" s="80">
        <v>864</v>
      </c>
      <c r="C872" s="84" t="s">
        <v>44</v>
      </c>
      <c r="D872" s="82" t="s">
        <v>43</v>
      </c>
      <c r="E872" s="83">
        <v>8546</v>
      </c>
      <c r="F872" s="83" t="s">
        <v>16</v>
      </c>
      <c r="G872" s="83" t="s">
        <v>22</v>
      </c>
      <c r="H872" s="83" t="s">
        <v>14</v>
      </c>
      <c r="I872" s="83" t="s">
        <v>13</v>
      </c>
      <c r="J872" s="83">
        <v>45</v>
      </c>
      <c r="K872" s="84"/>
      <c r="L872" s="83" t="s">
        <v>26</v>
      </c>
      <c r="M872" s="83" t="s">
        <v>11</v>
      </c>
      <c r="N872" s="85">
        <v>45973</v>
      </c>
      <c r="O872" s="86" t="s">
        <v>10</v>
      </c>
      <c r="P872" s="85" t="s">
        <v>20</v>
      </c>
      <c r="Q872" s="91"/>
      <c r="R872" s="87"/>
      <c r="S872" s="30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</row>
    <row r="873" spans="2:37" ht="16.2" x14ac:dyDescent="0.3">
      <c r="B873" s="80">
        <v>865</v>
      </c>
      <c r="C873" s="84" t="s">
        <v>1204</v>
      </c>
      <c r="D873" s="82" t="s">
        <v>1205</v>
      </c>
      <c r="E873" s="83">
        <v>8547</v>
      </c>
      <c r="F873" s="84" t="s">
        <v>16</v>
      </c>
      <c r="G873" s="83" t="s">
        <v>40</v>
      </c>
      <c r="H873" s="83" t="s">
        <v>14</v>
      </c>
      <c r="I873" s="83" t="s">
        <v>13</v>
      </c>
      <c r="J873" s="84">
        <v>40</v>
      </c>
      <c r="K873" s="84"/>
      <c r="L873" s="84" t="s">
        <v>26</v>
      </c>
      <c r="M873" s="84" t="s">
        <v>11</v>
      </c>
      <c r="N873" s="85">
        <v>45973</v>
      </c>
      <c r="O873" s="86" t="s">
        <v>10</v>
      </c>
      <c r="P873" s="97" t="s">
        <v>0</v>
      </c>
      <c r="Q873" s="91" t="s">
        <v>1206</v>
      </c>
      <c r="R873" s="91"/>
      <c r="S873" s="30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</row>
    <row r="874" spans="2:37" ht="16.2" x14ac:dyDescent="0.3">
      <c r="B874" s="80">
        <v>866</v>
      </c>
      <c r="C874" s="84" t="s">
        <v>737</v>
      </c>
      <c r="D874" s="82" t="s">
        <v>736</v>
      </c>
      <c r="E874" s="83">
        <v>8548</v>
      </c>
      <c r="F874" s="84" t="s">
        <v>16</v>
      </c>
      <c r="G874" s="84" t="s">
        <v>22</v>
      </c>
      <c r="H874" s="83" t="s">
        <v>14</v>
      </c>
      <c r="I874" s="83" t="s">
        <v>21</v>
      </c>
      <c r="J874" s="84">
        <v>40</v>
      </c>
      <c r="K874" s="84"/>
      <c r="L874" s="84" t="s">
        <v>12</v>
      </c>
      <c r="M874" s="84" t="s">
        <v>11</v>
      </c>
      <c r="N874" s="85">
        <v>45973</v>
      </c>
      <c r="O874" s="86" t="s">
        <v>10</v>
      </c>
      <c r="P874" s="97" t="s">
        <v>20</v>
      </c>
      <c r="Q874" s="91">
        <v>897397461</v>
      </c>
      <c r="R874" s="91"/>
      <c r="S874" s="30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</row>
    <row r="875" spans="2:37" ht="16.2" x14ac:dyDescent="0.3">
      <c r="B875" s="80">
        <v>867</v>
      </c>
      <c r="C875" s="84" t="s">
        <v>735</v>
      </c>
      <c r="D875" s="82" t="s">
        <v>734</v>
      </c>
      <c r="E875" s="83">
        <v>8549</v>
      </c>
      <c r="F875" s="84" t="s">
        <v>16</v>
      </c>
      <c r="G875" s="83" t="s">
        <v>22</v>
      </c>
      <c r="H875" s="83" t="s">
        <v>14</v>
      </c>
      <c r="I875" s="83" t="s">
        <v>21</v>
      </c>
      <c r="J875" s="84">
        <v>35</v>
      </c>
      <c r="K875" s="84"/>
      <c r="L875" s="84" t="s">
        <v>12</v>
      </c>
      <c r="M875" s="84" t="s">
        <v>11</v>
      </c>
      <c r="N875" s="85">
        <v>45973</v>
      </c>
      <c r="O875" s="86" t="s">
        <v>10</v>
      </c>
      <c r="P875" s="97" t="s">
        <v>20</v>
      </c>
      <c r="Q875" s="91">
        <v>897397461</v>
      </c>
      <c r="R875" s="91"/>
      <c r="S875" s="30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</row>
    <row r="876" spans="2:37" ht="16.2" x14ac:dyDescent="0.3">
      <c r="B876" s="80">
        <v>868</v>
      </c>
      <c r="C876" s="84" t="s">
        <v>306</v>
      </c>
      <c r="D876" s="82" t="s">
        <v>305</v>
      </c>
      <c r="E876" s="83">
        <v>8550</v>
      </c>
      <c r="F876" s="84" t="s">
        <v>16</v>
      </c>
      <c r="G876" s="83" t="s">
        <v>77</v>
      </c>
      <c r="H876" s="83" t="s">
        <v>14</v>
      </c>
      <c r="I876" s="83" t="s">
        <v>103</v>
      </c>
      <c r="J876" s="84">
        <v>10</v>
      </c>
      <c r="K876" s="84"/>
      <c r="L876" s="84" t="s">
        <v>26</v>
      </c>
      <c r="M876" s="84" t="s">
        <v>11</v>
      </c>
      <c r="N876" s="85">
        <v>45973</v>
      </c>
      <c r="O876" s="86" t="s">
        <v>10</v>
      </c>
      <c r="P876" s="97" t="s">
        <v>0</v>
      </c>
      <c r="Q876" s="91" t="s">
        <v>304</v>
      </c>
      <c r="R876" s="91"/>
      <c r="S876" s="30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</row>
    <row r="877" spans="2:37" ht="16.2" x14ac:dyDescent="0.3">
      <c r="B877" s="80">
        <v>869</v>
      </c>
      <c r="C877" s="84" t="s">
        <v>306</v>
      </c>
      <c r="D877" s="82" t="s">
        <v>305</v>
      </c>
      <c r="E877" s="83">
        <v>8551</v>
      </c>
      <c r="F877" s="84" t="s">
        <v>16</v>
      </c>
      <c r="G877" s="83" t="s">
        <v>77</v>
      </c>
      <c r="H877" s="83" t="s">
        <v>14</v>
      </c>
      <c r="I877" s="83" t="s">
        <v>281</v>
      </c>
      <c r="J877" s="84">
        <v>25</v>
      </c>
      <c r="K877" s="84"/>
      <c r="L877" s="84" t="s">
        <v>26</v>
      </c>
      <c r="M877" s="84" t="s">
        <v>11</v>
      </c>
      <c r="N877" s="85">
        <v>45973</v>
      </c>
      <c r="O877" s="86" t="s">
        <v>10</v>
      </c>
      <c r="P877" s="97" t="s">
        <v>0</v>
      </c>
      <c r="Q877" s="91" t="s">
        <v>304</v>
      </c>
      <c r="R877" s="91"/>
      <c r="S877" s="30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</row>
    <row r="878" spans="2:37" ht="16.2" x14ac:dyDescent="0.3">
      <c r="B878" s="80">
        <v>870</v>
      </c>
      <c r="C878" s="84" t="s">
        <v>425</v>
      </c>
      <c r="D878" s="82" t="s">
        <v>424</v>
      </c>
      <c r="E878" s="83">
        <v>8552</v>
      </c>
      <c r="F878" s="83" t="s">
        <v>28</v>
      </c>
      <c r="G878" s="83" t="s">
        <v>27</v>
      </c>
      <c r="H878" s="83" t="s">
        <v>14</v>
      </c>
      <c r="I878" s="83" t="s">
        <v>21</v>
      </c>
      <c r="J878" s="83">
        <v>100</v>
      </c>
      <c r="K878" s="83"/>
      <c r="L878" s="83" t="s">
        <v>12</v>
      </c>
      <c r="M878" s="83" t="s">
        <v>11</v>
      </c>
      <c r="N878" s="85">
        <v>45973</v>
      </c>
      <c r="O878" s="86" t="s">
        <v>25</v>
      </c>
      <c r="P878" s="85" t="s">
        <v>20</v>
      </c>
      <c r="Q878" s="91">
        <v>979373937</v>
      </c>
      <c r="R878" s="87"/>
      <c r="S878" s="30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</row>
    <row r="879" spans="2:37" ht="16.2" x14ac:dyDescent="0.3">
      <c r="B879" s="80">
        <v>871</v>
      </c>
      <c r="C879" s="84" t="s">
        <v>423</v>
      </c>
      <c r="D879" s="82" t="s">
        <v>422</v>
      </c>
      <c r="E879" s="83">
        <v>8553</v>
      </c>
      <c r="F879" s="84" t="s">
        <v>16</v>
      </c>
      <c r="G879" s="83" t="s">
        <v>164</v>
      </c>
      <c r="H879" s="83" t="s">
        <v>14</v>
      </c>
      <c r="I879" s="83" t="s">
        <v>21</v>
      </c>
      <c r="J879" s="84">
        <v>100</v>
      </c>
      <c r="K879" s="84"/>
      <c r="L879" s="84" t="s">
        <v>12</v>
      </c>
      <c r="M879" s="84" t="s">
        <v>11</v>
      </c>
      <c r="N879" s="85">
        <v>45973</v>
      </c>
      <c r="O879" s="86" t="s">
        <v>25</v>
      </c>
      <c r="P879" s="97" t="s">
        <v>20</v>
      </c>
      <c r="Q879" s="91">
        <v>97555868</v>
      </c>
      <c r="R879" s="91"/>
      <c r="S879" s="30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</row>
    <row r="880" spans="2:37" ht="16.2" x14ac:dyDescent="0.3">
      <c r="B880" s="80">
        <v>872</v>
      </c>
      <c r="C880" s="84" t="s">
        <v>421</v>
      </c>
      <c r="D880" s="82" t="s">
        <v>420</v>
      </c>
      <c r="E880" s="83">
        <v>8554</v>
      </c>
      <c r="F880" s="84" t="s">
        <v>28</v>
      </c>
      <c r="G880" s="83" t="s">
        <v>22</v>
      </c>
      <c r="H880" s="83" t="s">
        <v>14</v>
      </c>
      <c r="I880" s="83" t="s">
        <v>21</v>
      </c>
      <c r="J880" s="84">
        <v>45</v>
      </c>
      <c r="K880" s="84"/>
      <c r="L880" s="84" t="s">
        <v>26</v>
      </c>
      <c r="M880" s="84" t="s">
        <v>11</v>
      </c>
      <c r="N880" s="85">
        <v>45973</v>
      </c>
      <c r="O880" s="86" t="s">
        <v>10</v>
      </c>
      <c r="P880" s="97" t="s">
        <v>20</v>
      </c>
      <c r="Q880" s="91">
        <v>977393937</v>
      </c>
      <c r="R880" s="91"/>
      <c r="S880" s="30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</row>
    <row r="881" spans="2:37" ht="16.2" x14ac:dyDescent="0.3">
      <c r="B881" s="80">
        <v>873</v>
      </c>
      <c r="C881" s="84" t="s">
        <v>419</v>
      </c>
      <c r="D881" s="82" t="s">
        <v>418</v>
      </c>
      <c r="E881" s="83">
        <v>8555</v>
      </c>
      <c r="F881" s="83" t="s">
        <v>28</v>
      </c>
      <c r="G881" s="83" t="s">
        <v>150</v>
      </c>
      <c r="H881" s="83" t="s">
        <v>14</v>
      </c>
      <c r="I881" s="83" t="s">
        <v>21</v>
      </c>
      <c r="J881" s="83">
        <v>45</v>
      </c>
      <c r="K881" s="83"/>
      <c r="L881" s="83" t="s">
        <v>26</v>
      </c>
      <c r="M881" s="83" t="s">
        <v>11</v>
      </c>
      <c r="N881" s="85">
        <v>45973</v>
      </c>
      <c r="O881" s="86" t="s">
        <v>10</v>
      </c>
      <c r="P881" s="85" t="s">
        <v>20</v>
      </c>
      <c r="Q881" s="91">
        <v>979373937</v>
      </c>
      <c r="R881" s="87"/>
      <c r="S881" s="30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</row>
    <row r="882" spans="2:37" ht="16.2" x14ac:dyDescent="0.3">
      <c r="B882" s="80">
        <v>874</v>
      </c>
      <c r="C882" s="84" t="s">
        <v>564</v>
      </c>
      <c r="D882" s="82" t="s">
        <v>563</v>
      </c>
      <c r="E882" s="83">
        <v>8556</v>
      </c>
      <c r="F882" s="84" t="s">
        <v>28</v>
      </c>
      <c r="G882" s="83" t="s">
        <v>65</v>
      </c>
      <c r="H882" s="83" t="s">
        <v>14</v>
      </c>
      <c r="I882" s="83" t="s">
        <v>13</v>
      </c>
      <c r="J882" s="84">
        <v>45</v>
      </c>
      <c r="K882" s="84"/>
      <c r="L882" s="84" t="s">
        <v>12</v>
      </c>
      <c r="M882" s="84" t="s">
        <v>11</v>
      </c>
      <c r="N882" s="85">
        <v>45973</v>
      </c>
      <c r="O882" s="86" t="s">
        <v>25</v>
      </c>
      <c r="P882" s="97" t="s">
        <v>20</v>
      </c>
      <c r="Q882" s="91" t="s">
        <v>562</v>
      </c>
      <c r="R882" s="91"/>
      <c r="S882" s="30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</row>
    <row r="883" spans="2:37" ht="16.2" x14ac:dyDescent="0.3">
      <c r="B883" s="80">
        <v>875</v>
      </c>
      <c r="C883" s="84" t="s">
        <v>925</v>
      </c>
      <c r="D883" s="82" t="s">
        <v>926</v>
      </c>
      <c r="E883" s="83">
        <v>8558</v>
      </c>
      <c r="F883" s="84" t="s">
        <v>28</v>
      </c>
      <c r="G883" s="83" t="s">
        <v>100</v>
      </c>
      <c r="H883" s="83" t="s">
        <v>14</v>
      </c>
      <c r="I883" s="83" t="s">
        <v>281</v>
      </c>
      <c r="J883" s="84">
        <v>9.56</v>
      </c>
      <c r="K883" s="84"/>
      <c r="L883" s="84" t="s">
        <v>12</v>
      </c>
      <c r="M883" s="84" t="s">
        <v>11</v>
      </c>
      <c r="N883" s="85">
        <v>45973</v>
      </c>
      <c r="O883" s="86" t="s">
        <v>10</v>
      </c>
      <c r="P883" s="97" t="s">
        <v>20</v>
      </c>
      <c r="Q883" s="91">
        <v>974012222</v>
      </c>
      <c r="R883" s="91"/>
      <c r="S883" s="30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</row>
    <row r="884" spans="2:37" ht="16.2" x14ac:dyDescent="0.3">
      <c r="B884" s="80">
        <v>876</v>
      </c>
      <c r="C884" s="84" t="s">
        <v>59</v>
      </c>
      <c r="D884" s="82" t="s">
        <v>58</v>
      </c>
      <c r="E884" s="83">
        <v>8559</v>
      </c>
      <c r="F884" s="84" t="s">
        <v>28</v>
      </c>
      <c r="G884" s="84" t="s">
        <v>57</v>
      </c>
      <c r="H884" s="83" t="s">
        <v>14</v>
      </c>
      <c r="I884" s="83" t="s">
        <v>281</v>
      </c>
      <c r="J884" s="84">
        <v>40</v>
      </c>
      <c r="K884" s="84"/>
      <c r="L884" s="84" t="s">
        <v>26</v>
      </c>
      <c r="M884" s="84" t="s">
        <v>11</v>
      </c>
      <c r="N884" s="85">
        <v>45973</v>
      </c>
      <c r="O884" s="86" t="s">
        <v>25</v>
      </c>
      <c r="P884" s="97" t="s">
        <v>20</v>
      </c>
      <c r="Q884" s="91"/>
      <c r="R884" s="91"/>
      <c r="S884" s="30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</row>
    <row r="885" spans="2:37" ht="16.2" x14ac:dyDescent="0.3">
      <c r="B885" s="80">
        <v>877</v>
      </c>
      <c r="C885" s="84" t="s">
        <v>553</v>
      </c>
      <c r="D885" s="82" t="s">
        <v>552</v>
      </c>
      <c r="E885" s="83">
        <v>8560</v>
      </c>
      <c r="F885" s="84" t="s">
        <v>16</v>
      </c>
      <c r="G885" s="83" t="s">
        <v>50</v>
      </c>
      <c r="H885" s="83" t="s">
        <v>14</v>
      </c>
      <c r="I885" s="83" t="s">
        <v>13</v>
      </c>
      <c r="J885" s="84">
        <v>35</v>
      </c>
      <c r="K885" s="84"/>
      <c r="L885" s="84" t="s">
        <v>12</v>
      </c>
      <c r="M885" s="84" t="s">
        <v>11</v>
      </c>
      <c r="N885" s="85">
        <v>45973</v>
      </c>
      <c r="O885" s="86" t="s">
        <v>10</v>
      </c>
      <c r="P885" s="97" t="s">
        <v>9</v>
      </c>
      <c r="Q885" s="91">
        <v>998830769</v>
      </c>
      <c r="R885" s="91"/>
      <c r="S885" s="30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</row>
    <row r="886" spans="2:37" ht="16.2" x14ac:dyDescent="0.3">
      <c r="B886" s="80">
        <v>878</v>
      </c>
      <c r="C886" s="84" t="s">
        <v>549</v>
      </c>
      <c r="D886" s="82" t="s">
        <v>548</v>
      </c>
      <c r="E886" s="83">
        <v>8561</v>
      </c>
      <c r="F886" s="84" t="s">
        <v>16</v>
      </c>
      <c r="G886" s="83" t="s">
        <v>146</v>
      </c>
      <c r="H886" s="83" t="s">
        <v>14</v>
      </c>
      <c r="I886" s="83" t="s">
        <v>103</v>
      </c>
      <c r="J886" s="84">
        <v>23.16</v>
      </c>
      <c r="K886" s="84"/>
      <c r="L886" s="84" t="s">
        <v>26</v>
      </c>
      <c r="M886" s="84" t="s">
        <v>11</v>
      </c>
      <c r="N886" s="85">
        <v>45973</v>
      </c>
      <c r="O886" s="86" t="s">
        <v>10</v>
      </c>
      <c r="P886" s="97" t="s">
        <v>20</v>
      </c>
      <c r="Q886" s="91"/>
      <c r="R886" s="91"/>
      <c r="S886" s="30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</row>
    <row r="887" spans="2:37" ht="16.2" x14ac:dyDescent="0.3">
      <c r="B887" s="80">
        <v>879</v>
      </c>
      <c r="C887" s="84" t="s">
        <v>549</v>
      </c>
      <c r="D887" s="82" t="s">
        <v>548</v>
      </c>
      <c r="E887" s="83">
        <v>8562</v>
      </c>
      <c r="F887" s="84" t="s">
        <v>16</v>
      </c>
      <c r="G887" s="83" t="s">
        <v>146</v>
      </c>
      <c r="H887" s="83" t="s">
        <v>14</v>
      </c>
      <c r="I887" s="83" t="s">
        <v>13</v>
      </c>
      <c r="J887" s="84">
        <v>55</v>
      </c>
      <c r="K887" s="84"/>
      <c r="L887" s="84" t="s">
        <v>26</v>
      </c>
      <c r="M887" s="84" t="s">
        <v>11</v>
      </c>
      <c r="N887" s="85">
        <v>45973</v>
      </c>
      <c r="O887" s="86" t="s">
        <v>10</v>
      </c>
      <c r="P887" s="97" t="s">
        <v>20</v>
      </c>
      <c r="Q887" s="91"/>
      <c r="R887" s="91"/>
      <c r="S887" s="30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</row>
    <row r="888" spans="2:37" ht="16.2" x14ac:dyDescent="0.3">
      <c r="B888" s="80">
        <v>880</v>
      </c>
      <c r="C888" s="84" t="s">
        <v>551</v>
      </c>
      <c r="D888" s="82" t="s">
        <v>550</v>
      </c>
      <c r="E888" s="83">
        <v>8563</v>
      </c>
      <c r="F888" s="84" t="s">
        <v>16</v>
      </c>
      <c r="G888" s="84" t="s">
        <v>15</v>
      </c>
      <c r="H888" s="83" t="s">
        <v>14</v>
      </c>
      <c r="I888" s="83" t="s">
        <v>281</v>
      </c>
      <c r="J888" s="84">
        <v>11.84</v>
      </c>
      <c r="K888" s="84"/>
      <c r="L888" s="84" t="s">
        <v>12</v>
      </c>
      <c r="M888" s="84" t="s">
        <v>11</v>
      </c>
      <c r="N888" s="85">
        <v>45973</v>
      </c>
      <c r="O888" s="86" t="s">
        <v>10</v>
      </c>
      <c r="P888" s="97" t="s">
        <v>9</v>
      </c>
      <c r="Q888" s="91">
        <v>998830769</v>
      </c>
      <c r="R888" s="91"/>
      <c r="S888" s="30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</row>
    <row r="889" spans="2:37" ht="16.2" x14ac:dyDescent="0.3">
      <c r="B889" s="80">
        <v>881</v>
      </c>
      <c r="C889" s="84" t="s">
        <v>196</v>
      </c>
      <c r="D889" s="82" t="s">
        <v>195</v>
      </c>
      <c r="E889" s="83">
        <v>8564</v>
      </c>
      <c r="F889" s="83" t="s">
        <v>28</v>
      </c>
      <c r="G889" s="84" t="s">
        <v>124</v>
      </c>
      <c r="H889" s="83" t="s">
        <v>14</v>
      </c>
      <c r="I889" s="83" t="s">
        <v>281</v>
      </c>
      <c r="J889" s="83">
        <v>8.69</v>
      </c>
      <c r="K889" s="83"/>
      <c r="L889" s="83" t="s">
        <v>26</v>
      </c>
      <c r="M889" s="83" t="s">
        <v>112</v>
      </c>
      <c r="N889" s="85">
        <v>45974</v>
      </c>
      <c r="O889" s="86" t="s">
        <v>10</v>
      </c>
      <c r="P889" s="85" t="s">
        <v>20</v>
      </c>
      <c r="Q889" s="91">
        <v>826306153</v>
      </c>
      <c r="R889" s="87"/>
      <c r="S889" s="30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</row>
    <row r="890" spans="2:37" ht="16.2" x14ac:dyDescent="0.3">
      <c r="B890" s="80">
        <v>882</v>
      </c>
      <c r="C890" s="84" t="s">
        <v>1207</v>
      </c>
      <c r="D890" s="82" t="s">
        <v>1208</v>
      </c>
      <c r="E890" s="83">
        <v>8565</v>
      </c>
      <c r="F890" s="84" t="s">
        <v>16</v>
      </c>
      <c r="G890" s="84" t="s">
        <v>72</v>
      </c>
      <c r="H890" s="84" t="s">
        <v>14</v>
      </c>
      <c r="I890" s="84" t="s">
        <v>13</v>
      </c>
      <c r="J890" s="84">
        <v>55</v>
      </c>
      <c r="K890" s="84"/>
      <c r="L890" s="84" t="s">
        <v>26</v>
      </c>
      <c r="M890" s="84" t="s">
        <v>112</v>
      </c>
      <c r="N890" s="85">
        <v>45974</v>
      </c>
      <c r="O890" s="86" t="s">
        <v>25</v>
      </c>
      <c r="P890" s="97" t="s">
        <v>20</v>
      </c>
      <c r="Q890" s="91">
        <v>974919847</v>
      </c>
      <c r="R890" s="91"/>
      <c r="S890" s="30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</row>
    <row r="891" spans="2:37" ht="16.2" x14ac:dyDescent="0.3">
      <c r="B891" s="80">
        <v>883</v>
      </c>
      <c r="C891" s="84" t="s">
        <v>1209</v>
      </c>
      <c r="D891" s="82" t="s">
        <v>1210</v>
      </c>
      <c r="E891" s="83">
        <v>8566</v>
      </c>
      <c r="F891" s="84" t="s">
        <v>28</v>
      </c>
      <c r="G891" s="84" t="s">
        <v>27</v>
      </c>
      <c r="H891" s="84" t="s">
        <v>14</v>
      </c>
      <c r="I891" s="84" t="s">
        <v>13</v>
      </c>
      <c r="J891" s="84">
        <v>55</v>
      </c>
      <c r="K891" s="84"/>
      <c r="L891" s="84" t="s">
        <v>12</v>
      </c>
      <c r="M891" s="84" t="s">
        <v>112</v>
      </c>
      <c r="N891" s="85">
        <v>45974</v>
      </c>
      <c r="O891" s="86" t="s">
        <v>25</v>
      </c>
      <c r="P891" s="97" t="s">
        <v>20</v>
      </c>
      <c r="Q891" s="91">
        <v>990262434</v>
      </c>
      <c r="R891" s="91"/>
      <c r="S891" s="30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</row>
    <row r="892" spans="2:37" ht="16.2" x14ac:dyDescent="0.3">
      <c r="B892" s="80">
        <v>884</v>
      </c>
      <c r="C892" s="84" t="s">
        <v>814</v>
      </c>
      <c r="D892" s="82" t="s">
        <v>813</v>
      </c>
      <c r="E892" s="83">
        <v>8567</v>
      </c>
      <c r="F892" s="84" t="s">
        <v>16</v>
      </c>
      <c r="G892" s="84" t="s">
        <v>37</v>
      </c>
      <c r="H892" s="84" t="s">
        <v>14</v>
      </c>
      <c r="I892" s="84" t="s">
        <v>13</v>
      </c>
      <c r="J892" s="84">
        <v>45</v>
      </c>
      <c r="K892" s="84"/>
      <c r="L892" s="84" t="s">
        <v>12</v>
      </c>
      <c r="M892" s="84" t="s">
        <v>112</v>
      </c>
      <c r="N892" s="85">
        <v>45974</v>
      </c>
      <c r="O892" s="86" t="s">
        <v>10</v>
      </c>
      <c r="P892" s="97" t="s">
        <v>20</v>
      </c>
      <c r="Q892" s="91" t="s">
        <v>812</v>
      </c>
      <c r="R892" s="91"/>
      <c r="S892" s="30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</row>
    <row r="893" spans="2:37" ht="16.2" x14ac:dyDescent="0.3">
      <c r="B893" s="80">
        <v>885</v>
      </c>
      <c r="C893" s="84" t="s">
        <v>85</v>
      </c>
      <c r="D893" s="82" t="s">
        <v>84</v>
      </c>
      <c r="E893" s="83">
        <v>8568</v>
      </c>
      <c r="F893" s="83" t="s">
        <v>28</v>
      </c>
      <c r="G893" s="83" t="s">
        <v>83</v>
      </c>
      <c r="H893" s="83" t="s">
        <v>14</v>
      </c>
      <c r="I893" s="83" t="s">
        <v>13</v>
      </c>
      <c r="J893" s="83">
        <v>40</v>
      </c>
      <c r="K893" s="84"/>
      <c r="L893" s="83" t="s">
        <v>26</v>
      </c>
      <c r="M893" s="83" t="s">
        <v>112</v>
      </c>
      <c r="N893" s="85">
        <v>45974</v>
      </c>
      <c r="O893" s="86" t="s">
        <v>10</v>
      </c>
      <c r="P893" s="85" t="s">
        <v>9</v>
      </c>
      <c r="Q893" s="91">
        <v>990262434</v>
      </c>
      <c r="R893" s="87"/>
      <c r="S893" s="30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</row>
    <row r="894" spans="2:37" ht="16.2" x14ac:dyDescent="0.3">
      <c r="B894" s="80">
        <v>886</v>
      </c>
      <c r="C894" s="84" t="s">
        <v>1211</v>
      </c>
      <c r="D894" s="82" t="s">
        <v>1212</v>
      </c>
      <c r="E894" s="83">
        <v>8569</v>
      </c>
      <c r="F894" s="84" t="s">
        <v>16</v>
      </c>
      <c r="G894" s="84" t="s">
        <v>185</v>
      </c>
      <c r="H894" s="84" t="s">
        <v>14</v>
      </c>
      <c r="I894" s="84" t="s">
        <v>13</v>
      </c>
      <c r="J894" s="84">
        <v>55</v>
      </c>
      <c r="K894" s="84"/>
      <c r="L894" s="84" t="s">
        <v>26</v>
      </c>
      <c r="M894" s="84" t="s">
        <v>112</v>
      </c>
      <c r="N894" s="85">
        <v>45974</v>
      </c>
      <c r="O894" s="86" t="s">
        <v>10</v>
      </c>
      <c r="P894" s="97" t="s">
        <v>20</v>
      </c>
      <c r="Q894" s="91"/>
      <c r="R894" s="91"/>
      <c r="S894" s="30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</row>
    <row r="895" spans="2:37" ht="16.2" x14ac:dyDescent="0.3">
      <c r="B895" s="80">
        <v>887</v>
      </c>
      <c r="C895" s="84" t="s">
        <v>453</v>
      </c>
      <c r="D895" s="82" t="s">
        <v>452</v>
      </c>
      <c r="E895" s="83">
        <v>8570</v>
      </c>
      <c r="F895" s="84" t="s">
        <v>16</v>
      </c>
      <c r="G895" s="84" t="s">
        <v>77</v>
      </c>
      <c r="H895" s="84" t="s">
        <v>14</v>
      </c>
      <c r="I895" s="84" t="s">
        <v>13</v>
      </c>
      <c r="J895" s="84">
        <v>40</v>
      </c>
      <c r="K895" s="84"/>
      <c r="L895" s="84" t="s">
        <v>26</v>
      </c>
      <c r="M895" s="84" t="s">
        <v>112</v>
      </c>
      <c r="N895" s="85">
        <v>45974</v>
      </c>
      <c r="O895" s="86" t="s">
        <v>10</v>
      </c>
      <c r="P895" s="97" t="s">
        <v>0</v>
      </c>
      <c r="Q895" s="91">
        <v>990666633</v>
      </c>
      <c r="R895" s="91"/>
      <c r="S895" s="30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</row>
    <row r="896" spans="2:37" ht="16.2" x14ac:dyDescent="0.3">
      <c r="B896" s="80">
        <v>888</v>
      </c>
      <c r="C896" s="84" t="s">
        <v>1213</v>
      </c>
      <c r="D896" s="82" t="s">
        <v>1214</v>
      </c>
      <c r="E896" s="83">
        <v>8571</v>
      </c>
      <c r="F896" s="83" t="s">
        <v>16</v>
      </c>
      <c r="G896" s="83" t="s">
        <v>37</v>
      </c>
      <c r="H896" s="83" t="s">
        <v>14</v>
      </c>
      <c r="I896" s="83" t="s">
        <v>13</v>
      </c>
      <c r="J896" s="83">
        <v>45</v>
      </c>
      <c r="K896" s="83"/>
      <c r="L896" s="83" t="s">
        <v>12</v>
      </c>
      <c r="M896" s="83" t="s">
        <v>112</v>
      </c>
      <c r="N896" s="85">
        <v>45974</v>
      </c>
      <c r="O896" s="86" t="s">
        <v>25</v>
      </c>
      <c r="P896" s="85" t="s">
        <v>20</v>
      </c>
      <c r="Q896" s="91">
        <v>850539376</v>
      </c>
      <c r="R896" s="87"/>
      <c r="S896" s="30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</row>
    <row r="897" spans="2:37" ht="16.2" x14ac:dyDescent="0.3">
      <c r="B897" s="80">
        <v>889</v>
      </c>
      <c r="C897" s="84" t="s">
        <v>173</v>
      </c>
      <c r="D897" s="82" t="s">
        <v>172</v>
      </c>
      <c r="E897" s="83">
        <v>8572</v>
      </c>
      <c r="F897" s="83" t="s">
        <v>16</v>
      </c>
      <c r="G897" s="83" t="s">
        <v>161</v>
      </c>
      <c r="H897" s="83" t="s">
        <v>14</v>
      </c>
      <c r="I897" s="83" t="s">
        <v>281</v>
      </c>
      <c r="J897" s="83">
        <v>70</v>
      </c>
      <c r="K897" s="83"/>
      <c r="L897" s="83" t="s">
        <v>12</v>
      </c>
      <c r="M897" s="83" t="s">
        <v>112</v>
      </c>
      <c r="N897" s="85">
        <v>45974</v>
      </c>
      <c r="O897" s="86" t="s">
        <v>25</v>
      </c>
      <c r="P897" s="85" t="s">
        <v>20</v>
      </c>
      <c r="Q897" s="91">
        <v>814045842</v>
      </c>
      <c r="R897" s="87"/>
      <c r="S897" s="30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</row>
    <row r="898" spans="2:37" ht="16.2" x14ac:dyDescent="0.3">
      <c r="B898" s="80">
        <v>890</v>
      </c>
      <c r="C898" s="84" t="s">
        <v>18</v>
      </c>
      <c r="D898" s="82" t="s">
        <v>17</v>
      </c>
      <c r="E898" s="83">
        <v>8573</v>
      </c>
      <c r="F898" s="84" t="s">
        <v>16</v>
      </c>
      <c r="G898" s="84" t="s">
        <v>15</v>
      </c>
      <c r="H898" s="84" t="s">
        <v>14</v>
      </c>
      <c r="I898" s="84" t="s">
        <v>785</v>
      </c>
      <c r="J898" s="84">
        <v>30</v>
      </c>
      <c r="K898" s="84"/>
      <c r="L898" s="84" t="s">
        <v>12</v>
      </c>
      <c r="M898" s="84" t="s">
        <v>112</v>
      </c>
      <c r="N898" s="85">
        <v>45974</v>
      </c>
      <c r="O898" s="86" t="s">
        <v>10</v>
      </c>
      <c r="P898" s="97" t="s">
        <v>9</v>
      </c>
      <c r="Q898" s="91"/>
      <c r="R898" s="91"/>
      <c r="S898" s="30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</row>
    <row r="899" spans="2:37" ht="16.2" x14ac:dyDescent="0.3">
      <c r="B899" s="80">
        <v>891</v>
      </c>
      <c r="C899" s="84" t="s">
        <v>249</v>
      </c>
      <c r="D899" s="82" t="s">
        <v>248</v>
      </c>
      <c r="E899" s="83">
        <v>8574</v>
      </c>
      <c r="F899" s="84" t="s">
        <v>16</v>
      </c>
      <c r="G899" s="84" t="s">
        <v>97</v>
      </c>
      <c r="H899" s="84" t="s">
        <v>14</v>
      </c>
      <c r="I899" s="84" t="s">
        <v>281</v>
      </c>
      <c r="J899" s="84">
        <v>80</v>
      </c>
      <c r="K899" s="84"/>
      <c r="L899" s="84" t="s">
        <v>26</v>
      </c>
      <c r="M899" s="84" t="s">
        <v>112</v>
      </c>
      <c r="N899" s="85">
        <v>45974</v>
      </c>
      <c r="O899" s="86" t="s">
        <v>25</v>
      </c>
      <c r="P899" s="97" t="s">
        <v>20</v>
      </c>
      <c r="Q899" s="91">
        <v>993577111</v>
      </c>
      <c r="R899" s="91"/>
      <c r="S899" s="30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</row>
    <row r="900" spans="2:37" ht="16.2" x14ac:dyDescent="0.3">
      <c r="B900" s="80">
        <v>892</v>
      </c>
      <c r="C900" s="84" t="s">
        <v>1215</v>
      </c>
      <c r="D900" s="82" t="s">
        <v>1216</v>
      </c>
      <c r="E900" s="83">
        <v>8575</v>
      </c>
      <c r="F900" s="84" t="s">
        <v>28</v>
      </c>
      <c r="G900" s="84" t="s">
        <v>1053</v>
      </c>
      <c r="H900" s="84" t="s">
        <v>14</v>
      </c>
      <c r="I900" s="84" t="s">
        <v>19</v>
      </c>
      <c r="J900" s="84">
        <v>45</v>
      </c>
      <c r="K900" s="84"/>
      <c r="L900" s="84" t="s">
        <v>12</v>
      </c>
      <c r="M900" s="84" t="s">
        <v>112</v>
      </c>
      <c r="N900" s="85">
        <v>45974</v>
      </c>
      <c r="O900" s="86" t="s">
        <v>10</v>
      </c>
      <c r="P900" s="97" t="s">
        <v>20</v>
      </c>
      <c r="Q900" s="91">
        <v>978555251</v>
      </c>
      <c r="R900" s="91"/>
      <c r="S900" s="30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</row>
    <row r="901" spans="2:37" ht="16.2" x14ac:dyDescent="0.3">
      <c r="B901" s="80">
        <v>893</v>
      </c>
      <c r="C901" s="84" t="s">
        <v>1217</v>
      </c>
      <c r="D901" s="82" t="s">
        <v>1218</v>
      </c>
      <c r="E901" s="83">
        <v>8576</v>
      </c>
      <c r="F901" s="84" t="s">
        <v>16</v>
      </c>
      <c r="G901" s="83" t="s">
        <v>201</v>
      </c>
      <c r="H901" s="83" t="s">
        <v>14</v>
      </c>
      <c r="I901" s="83" t="s">
        <v>13</v>
      </c>
      <c r="J901" s="84">
        <v>40</v>
      </c>
      <c r="K901" s="84"/>
      <c r="L901" s="84" t="s">
        <v>12</v>
      </c>
      <c r="M901" s="84" t="s">
        <v>112</v>
      </c>
      <c r="N901" s="85">
        <v>45974</v>
      </c>
      <c r="O901" s="86" t="s">
        <v>10</v>
      </c>
      <c r="P901" s="97" t="s">
        <v>9</v>
      </c>
      <c r="Q901" s="91">
        <v>978555251</v>
      </c>
      <c r="R901" s="91"/>
      <c r="S901" s="30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</row>
    <row r="902" spans="2:37" ht="16.2" x14ac:dyDescent="0.3">
      <c r="B902" s="80">
        <v>894</v>
      </c>
      <c r="C902" s="84" t="s">
        <v>1219</v>
      </c>
      <c r="D902" s="82" t="s">
        <v>1220</v>
      </c>
      <c r="E902" s="83">
        <v>8577</v>
      </c>
      <c r="F902" s="84" t="s">
        <v>16</v>
      </c>
      <c r="G902" s="83" t="s">
        <v>375</v>
      </c>
      <c r="H902" s="83" t="s">
        <v>14</v>
      </c>
      <c r="I902" s="83" t="s">
        <v>281</v>
      </c>
      <c r="J902" s="84">
        <v>31.73</v>
      </c>
      <c r="K902" s="84"/>
      <c r="L902" s="84" t="s">
        <v>12</v>
      </c>
      <c r="M902" s="84" t="s">
        <v>112</v>
      </c>
      <c r="N902" s="85">
        <v>45974</v>
      </c>
      <c r="O902" s="86" t="s">
        <v>10</v>
      </c>
      <c r="P902" s="97" t="s">
        <v>20</v>
      </c>
      <c r="Q902" s="91">
        <v>820861814</v>
      </c>
      <c r="R902" s="91"/>
      <c r="S902" s="30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</row>
    <row r="903" spans="2:37" ht="16.2" x14ac:dyDescent="0.3">
      <c r="B903" s="80">
        <v>895</v>
      </c>
      <c r="C903" s="84" t="s">
        <v>1221</v>
      </c>
      <c r="D903" s="82" t="s">
        <v>1222</v>
      </c>
      <c r="E903" s="83">
        <v>8578</v>
      </c>
      <c r="F903" s="84" t="s">
        <v>28</v>
      </c>
      <c r="G903" s="83" t="s">
        <v>273</v>
      </c>
      <c r="H903" s="83" t="s">
        <v>14</v>
      </c>
      <c r="I903" s="83" t="s">
        <v>13</v>
      </c>
      <c r="J903" s="84">
        <v>35</v>
      </c>
      <c r="K903" s="84"/>
      <c r="L903" s="84" t="s">
        <v>12</v>
      </c>
      <c r="M903" s="84" t="s">
        <v>112</v>
      </c>
      <c r="N903" s="85">
        <v>45974</v>
      </c>
      <c r="O903" s="86" t="s">
        <v>10</v>
      </c>
      <c r="P903" s="97" t="s">
        <v>20</v>
      </c>
      <c r="Q903" s="91">
        <v>820851814</v>
      </c>
      <c r="R903" s="91"/>
      <c r="S903" s="30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</row>
    <row r="904" spans="2:37" ht="16.2" x14ac:dyDescent="0.3">
      <c r="B904" s="80">
        <v>896</v>
      </c>
      <c r="C904" s="84" t="s">
        <v>1223</v>
      </c>
      <c r="D904" s="82" t="s">
        <v>1224</v>
      </c>
      <c r="E904" s="83">
        <v>8579</v>
      </c>
      <c r="F904" s="83" t="s">
        <v>16</v>
      </c>
      <c r="G904" s="83" t="s">
        <v>37</v>
      </c>
      <c r="H904" s="83" t="s">
        <v>14</v>
      </c>
      <c r="I904" s="83" t="s">
        <v>13</v>
      </c>
      <c r="J904" s="83">
        <v>35</v>
      </c>
      <c r="K904" s="84"/>
      <c r="L904" s="83" t="s">
        <v>12</v>
      </c>
      <c r="M904" s="83" t="s">
        <v>112</v>
      </c>
      <c r="N904" s="85">
        <v>45974</v>
      </c>
      <c r="O904" s="86" t="s">
        <v>10</v>
      </c>
      <c r="P904" s="85" t="s">
        <v>20</v>
      </c>
      <c r="Q904" s="91">
        <v>82820861814</v>
      </c>
      <c r="R904" s="87"/>
      <c r="S904" s="30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</row>
    <row r="905" spans="2:37" ht="16.2" x14ac:dyDescent="0.3">
      <c r="B905" s="80">
        <v>897</v>
      </c>
      <c r="C905" s="84" t="s">
        <v>308</v>
      </c>
      <c r="D905" s="82" t="s">
        <v>307</v>
      </c>
      <c r="E905" s="83">
        <v>8582</v>
      </c>
      <c r="F905" s="84" t="s">
        <v>28</v>
      </c>
      <c r="G905" s="83" t="s">
        <v>161</v>
      </c>
      <c r="H905" s="83" t="s">
        <v>14</v>
      </c>
      <c r="I905" s="83" t="s">
        <v>281</v>
      </c>
      <c r="J905" s="84">
        <v>80</v>
      </c>
      <c r="K905" s="84"/>
      <c r="L905" s="84" t="s">
        <v>26</v>
      </c>
      <c r="M905" s="84" t="s">
        <v>112</v>
      </c>
      <c r="N905" s="85">
        <v>45974</v>
      </c>
      <c r="O905" s="86" t="s">
        <v>25</v>
      </c>
      <c r="P905" s="97" t="s">
        <v>20</v>
      </c>
      <c r="Q905" s="91">
        <v>993411011</v>
      </c>
      <c r="R905" s="91"/>
      <c r="S905" s="30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</row>
    <row r="906" spans="2:37" ht="16.2" x14ac:dyDescent="0.3">
      <c r="B906" s="80">
        <v>898</v>
      </c>
      <c r="C906" s="84" t="s">
        <v>803</v>
      </c>
      <c r="D906" s="82" t="s">
        <v>802</v>
      </c>
      <c r="E906" s="83">
        <v>8580</v>
      </c>
      <c r="F906" s="84" t="s">
        <v>28</v>
      </c>
      <c r="G906" s="83" t="s">
        <v>133</v>
      </c>
      <c r="H906" s="83" t="s">
        <v>14</v>
      </c>
      <c r="I906" s="83" t="s">
        <v>13</v>
      </c>
      <c r="J906" s="84">
        <v>35</v>
      </c>
      <c r="K906" s="84"/>
      <c r="L906" s="84" t="s">
        <v>12</v>
      </c>
      <c r="M906" s="84" t="s">
        <v>112</v>
      </c>
      <c r="N906" s="85">
        <v>45974</v>
      </c>
      <c r="O906" s="86" t="s">
        <v>10</v>
      </c>
      <c r="P906" s="97" t="s">
        <v>9</v>
      </c>
      <c r="Q906" s="91">
        <v>820861814</v>
      </c>
      <c r="R906" s="91"/>
      <c r="S906" s="30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</row>
    <row r="907" spans="2:37" ht="16.2" x14ac:dyDescent="0.3">
      <c r="B907" s="80">
        <v>899</v>
      </c>
      <c r="C907" s="84" t="s">
        <v>806</v>
      </c>
      <c r="D907" s="82" t="s">
        <v>805</v>
      </c>
      <c r="E907" s="83">
        <v>8581</v>
      </c>
      <c r="F907" s="84" t="s">
        <v>16</v>
      </c>
      <c r="G907" s="84" t="s">
        <v>15</v>
      </c>
      <c r="H907" s="83" t="s">
        <v>14</v>
      </c>
      <c r="I907" s="83" t="s">
        <v>13</v>
      </c>
      <c r="J907" s="84">
        <v>35</v>
      </c>
      <c r="K907" s="84"/>
      <c r="L907" s="84" t="s">
        <v>12</v>
      </c>
      <c r="M907" s="84" t="s">
        <v>112</v>
      </c>
      <c r="N907" s="85">
        <v>45974</v>
      </c>
      <c r="O907" s="86" t="s">
        <v>10</v>
      </c>
      <c r="P907" s="97" t="s">
        <v>9</v>
      </c>
      <c r="Q907" s="91">
        <v>820861814</v>
      </c>
      <c r="R907" s="91"/>
      <c r="S907" s="30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</row>
    <row r="908" spans="2:37" ht="16.2" x14ac:dyDescent="0.3">
      <c r="B908" s="80">
        <v>900</v>
      </c>
      <c r="C908" s="84" t="s">
        <v>142</v>
      </c>
      <c r="D908" s="82" t="s">
        <v>141</v>
      </c>
      <c r="E908" s="83">
        <v>8583</v>
      </c>
      <c r="F908" s="84" t="s">
        <v>16</v>
      </c>
      <c r="G908" s="83" t="s">
        <v>140</v>
      </c>
      <c r="H908" s="83" t="s">
        <v>14</v>
      </c>
      <c r="I908" s="83" t="s">
        <v>13</v>
      </c>
      <c r="J908" s="84">
        <v>50</v>
      </c>
      <c r="K908" s="84"/>
      <c r="L908" s="84" t="s">
        <v>26</v>
      </c>
      <c r="M908" s="84" t="s">
        <v>112</v>
      </c>
      <c r="N908" s="85">
        <v>45974</v>
      </c>
      <c r="O908" s="86" t="s">
        <v>25</v>
      </c>
      <c r="P908" s="97" t="s">
        <v>20</v>
      </c>
      <c r="Q908" s="91"/>
      <c r="R908" s="91"/>
      <c r="S908" s="30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</row>
    <row r="909" spans="2:37" ht="16.2" x14ac:dyDescent="0.3">
      <c r="B909" s="80">
        <v>901</v>
      </c>
      <c r="C909" s="81" t="s">
        <v>1225</v>
      </c>
      <c r="D909" s="82" t="s">
        <v>1226</v>
      </c>
      <c r="E909" s="83">
        <v>8584</v>
      </c>
      <c r="F909" s="84" t="s">
        <v>28</v>
      </c>
      <c r="G909" s="84" t="s">
        <v>27</v>
      </c>
      <c r="H909" s="84" t="s">
        <v>14</v>
      </c>
      <c r="I909" s="84" t="s">
        <v>785</v>
      </c>
      <c r="J909" s="84">
        <v>20</v>
      </c>
      <c r="K909" s="84"/>
      <c r="L909" s="84" t="s">
        <v>26</v>
      </c>
      <c r="M909" s="84" t="s">
        <v>112</v>
      </c>
      <c r="N909" s="85">
        <v>45974</v>
      </c>
      <c r="O909" s="86" t="s">
        <v>25</v>
      </c>
      <c r="P909" s="97" t="s">
        <v>20</v>
      </c>
      <c r="Q909" s="91">
        <v>971456463</v>
      </c>
      <c r="R909" s="91"/>
      <c r="S909" s="30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</row>
    <row r="910" spans="2:37" ht="16.2" x14ac:dyDescent="0.3">
      <c r="B910" s="80">
        <v>902</v>
      </c>
      <c r="C910" s="84" t="s">
        <v>1227</v>
      </c>
      <c r="D910" s="82" t="s">
        <v>1228</v>
      </c>
      <c r="E910" s="83">
        <v>8585</v>
      </c>
      <c r="F910" s="83" t="s">
        <v>28</v>
      </c>
      <c r="G910" s="83" t="s">
        <v>80</v>
      </c>
      <c r="H910" s="83" t="s">
        <v>14</v>
      </c>
      <c r="I910" s="83" t="s">
        <v>13</v>
      </c>
      <c r="J910" s="83">
        <v>40</v>
      </c>
      <c r="K910" s="84"/>
      <c r="L910" s="83" t="s">
        <v>26</v>
      </c>
      <c r="M910" s="83" t="s">
        <v>88</v>
      </c>
      <c r="N910" s="85">
        <v>45975</v>
      </c>
      <c r="O910" s="86" t="s">
        <v>10</v>
      </c>
      <c r="P910" s="85" t="s">
        <v>9</v>
      </c>
      <c r="Q910" s="91"/>
      <c r="R910" s="87"/>
      <c r="S910" s="30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</row>
    <row r="911" spans="2:37" ht="16.2" x14ac:dyDescent="0.3">
      <c r="B911" s="80">
        <v>903</v>
      </c>
      <c r="C911" s="84" t="s">
        <v>860</v>
      </c>
      <c r="D911" s="82" t="s">
        <v>861</v>
      </c>
      <c r="E911" s="83">
        <v>8586</v>
      </c>
      <c r="F911" s="83" t="s">
        <v>28</v>
      </c>
      <c r="G911" s="83" t="s">
        <v>27</v>
      </c>
      <c r="H911" s="83" t="s">
        <v>14</v>
      </c>
      <c r="I911" s="83" t="s">
        <v>13</v>
      </c>
      <c r="J911" s="83">
        <v>45</v>
      </c>
      <c r="K911" s="84"/>
      <c r="L911" s="83" t="s">
        <v>26</v>
      </c>
      <c r="M911" s="83" t="s">
        <v>88</v>
      </c>
      <c r="N911" s="85">
        <v>45975</v>
      </c>
      <c r="O911" s="86" t="s">
        <v>25</v>
      </c>
      <c r="P911" s="85" t="s">
        <v>20</v>
      </c>
      <c r="Q911" s="91">
        <v>812237008</v>
      </c>
      <c r="R911" s="87"/>
      <c r="S911" s="30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</row>
    <row r="912" spans="2:37" ht="16.2" x14ac:dyDescent="0.3">
      <c r="B912" s="80">
        <v>904</v>
      </c>
      <c r="C912" s="84" t="s">
        <v>1229</v>
      </c>
      <c r="D912" s="82" t="s">
        <v>1230</v>
      </c>
      <c r="E912" s="83">
        <v>8587</v>
      </c>
      <c r="F912" s="84" t="s">
        <v>16</v>
      </c>
      <c r="G912" s="83" t="s">
        <v>77</v>
      </c>
      <c r="H912" s="83" t="s">
        <v>14</v>
      </c>
      <c r="I912" s="83" t="s">
        <v>13</v>
      </c>
      <c r="J912" s="84">
        <v>40</v>
      </c>
      <c r="K912" s="84"/>
      <c r="L912" s="84" t="s">
        <v>26</v>
      </c>
      <c r="M912" s="84" t="s">
        <v>88</v>
      </c>
      <c r="N912" s="85">
        <v>45975</v>
      </c>
      <c r="O912" s="86" t="s">
        <v>10</v>
      </c>
      <c r="P912" s="97" t="s">
        <v>0</v>
      </c>
      <c r="Q912" s="91">
        <v>997976951</v>
      </c>
      <c r="R912" s="91"/>
      <c r="S912" s="30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</row>
    <row r="913" spans="2:37" ht="16.2" x14ac:dyDescent="0.3">
      <c r="B913" s="80">
        <v>905</v>
      </c>
      <c r="C913" s="84" t="s">
        <v>451</v>
      </c>
      <c r="D913" s="82" t="s">
        <v>450</v>
      </c>
      <c r="E913" s="83">
        <v>8588</v>
      </c>
      <c r="F913" s="83" t="s">
        <v>28</v>
      </c>
      <c r="G913" s="83" t="s">
        <v>31</v>
      </c>
      <c r="H913" s="83" t="s">
        <v>14</v>
      </c>
      <c r="I913" s="83" t="s">
        <v>13</v>
      </c>
      <c r="J913" s="83">
        <v>45</v>
      </c>
      <c r="K913" s="84"/>
      <c r="L913" s="83" t="s">
        <v>12</v>
      </c>
      <c r="M913" s="83" t="s">
        <v>88</v>
      </c>
      <c r="N913" s="85">
        <v>45975</v>
      </c>
      <c r="O913" s="86" t="s">
        <v>10</v>
      </c>
      <c r="P913" s="85" t="s">
        <v>20</v>
      </c>
      <c r="Q913" s="91">
        <v>995912740</v>
      </c>
      <c r="R913" s="87"/>
      <c r="S913" s="30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</row>
    <row r="914" spans="2:37" ht="16.2" x14ac:dyDescent="0.3">
      <c r="B914" s="80">
        <v>906</v>
      </c>
      <c r="C914" s="84" t="s">
        <v>1231</v>
      </c>
      <c r="D914" s="82" t="s">
        <v>1232</v>
      </c>
      <c r="E914" s="83">
        <v>8889</v>
      </c>
      <c r="F914" s="84" t="s">
        <v>28</v>
      </c>
      <c r="G914" s="83" t="s">
        <v>68</v>
      </c>
      <c r="H914" s="83" t="s">
        <v>14</v>
      </c>
      <c r="I914" s="83" t="s">
        <v>281</v>
      </c>
      <c r="J914" s="84">
        <v>50</v>
      </c>
      <c r="K914" s="84"/>
      <c r="L914" s="84" t="s">
        <v>12</v>
      </c>
      <c r="M914" s="84" t="s">
        <v>88</v>
      </c>
      <c r="N914" s="85">
        <v>45975</v>
      </c>
      <c r="O914" s="86" t="s">
        <v>25</v>
      </c>
      <c r="P914" s="97" t="s">
        <v>20</v>
      </c>
      <c r="Q914" s="91">
        <v>853907111</v>
      </c>
      <c r="R914" s="91"/>
      <c r="S914" s="30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</row>
    <row r="915" spans="2:37" ht="16.2" x14ac:dyDescent="0.3">
      <c r="B915" s="80">
        <v>907</v>
      </c>
      <c r="C915" s="84" t="s">
        <v>1233</v>
      </c>
      <c r="D915" s="82" t="s">
        <v>1234</v>
      </c>
      <c r="E915" s="83">
        <v>8590</v>
      </c>
      <c r="F915" s="84" t="s">
        <v>16</v>
      </c>
      <c r="G915" s="83" t="s">
        <v>22</v>
      </c>
      <c r="H915" s="83" t="s">
        <v>14</v>
      </c>
      <c r="I915" s="83" t="s">
        <v>13</v>
      </c>
      <c r="J915" s="84">
        <v>45</v>
      </c>
      <c r="K915" s="84"/>
      <c r="L915" s="84" t="s">
        <v>26</v>
      </c>
      <c r="M915" s="84" t="s">
        <v>88</v>
      </c>
      <c r="N915" s="85">
        <v>45975</v>
      </c>
      <c r="O915" s="86" t="s">
        <v>10</v>
      </c>
      <c r="P915" s="97" t="s">
        <v>20</v>
      </c>
      <c r="Q915" s="91">
        <v>990661238</v>
      </c>
      <c r="R915" s="91"/>
      <c r="S915" s="30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</row>
    <row r="916" spans="2:37" ht="16.2" x14ac:dyDescent="0.3">
      <c r="B916" s="80">
        <v>908</v>
      </c>
      <c r="C916" s="84" t="s">
        <v>1235</v>
      </c>
      <c r="D916" s="82" t="s">
        <v>1236</v>
      </c>
      <c r="E916" s="83">
        <v>8591</v>
      </c>
      <c r="F916" s="84" t="s">
        <v>16</v>
      </c>
      <c r="G916" s="83" t="s">
        <v>22</v>
      </c>
      <c r="H916" s="83" t="s">
        <v>14</v>
      </c>
      <c r="I916" s="83" t="s">
        <v>13</v>
      </c>
      <c r="J916" s="84">
        <v>45</v>
      </c>
      <c r="K916" s="84"/>
      <c r="L916" s="84" t="s">
        <v>26</v>
      </c>
      <c r="M916" s="84" t="s">
        <v>88</v>
      </c>
      <c r="N916" s="85">
        <v>45975</v>
      </c>
      <c r="O916" s="86" t="s">
        <v>10</v>
      </c>
      <c r="P916" s="97" t="s">
        <v>20</v>
      </c>
      <c r="Q916" s="91">
        <v>990661235</v>
      </c>
      <c r="R916" s="91"/>
      <c r="S916" s="30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</row>
    <row r="917" spans="2:37" ht="16.2" x14ac:dyDescent="0.3">
      <c r="B917" s="80">
        <v>909</v>
      </c>
      <c r="C917" s="84" t="s">
        <v>1237</v>
      </c>
      <c r="D917" s="82" t="s">
        <v>1238</v>
      </c>
      <c r="E917" s="83">
        <v>8592</v>
      </c>
      <c r="F917" s="84" t="s">
        <v>16</v>
      </c>
      <c r="G917" s="84" t="s">
        <v>72</v>
      </c>
      <c r="H917" s="83" t="s">
        <v>14</v>
      </c>
      <c r="I917" s="83" t="s">
        <v>13</v>
      </c>
      <c r="J917" s="84">
        <v>55</v>
      </c>
      <c r="K917" s="84"/>
      <c r="L917" s="84" t="s">
        <v>26</v>
      </c>
      <c r="M917" s="84" t="s">
        <v>88</v>
      </c>
      <c r="N917" s="85">
        <v>45975</v>
      </c>
      <c r="O917" s="86" t="s">
        <v>25</v>
      </c>
      <c r="P917" s="97" t="s">
        <v>20</v>
      </c>
      <c r="Q917" s="91">
        <v>990661235</v>
      </c>
      <c r="R917" s="91"/>
      <c r="S917" s="30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</row>
    <row r="918" spans="2:37" ht="16.2" x14ac:dyDescent="0.3">
      <c r="B918" s="80">
        <v>910</v>
      </c>
      <c r="C918" s="84" t="s">
        <v>1239</v>
      </c>
      <c r="D918" s="82" t="s">
        <v>1240</v>
      </c>
      <c r="E918" s="83">
        <v>8593</v>
      </c>
      <c r="F918" s="84" t="s">
        <v>28</v>
      </c>
      <c r="G918" s="83" t="s">
        <v>34</v>
      </c>
      <c r="H918" s="83" t="s">
        <v>14</v>
      </c>
      <c r="I918" s="83" t="s">
        <v>13</v>
      </c>
      <c r="J918" s="84">
        <v>55</v>
      </c>
      <c r="K918" s="84"/>
      <c r="L918" s="84" t="s">
        <v>26</v>
      </c>
      <c r="M918" s="84" t="s">
        <v>88</v>
      </c>
      <c r="N918" s="85">
        <v>45975</v>
      </c>
      <c r="O918" s="86" t="s">
        <v>25</v>
      </c>
      <c r="P918" s="97" t="s">
        <v>20</v>
      </c>
      <c r="Q918" s="91"/>
      <c r="R918" s="91"/>
      <c r="S918" s="30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</row>
    <row r="919" spans="2:37" ht="16.2" x14ac:dyDescent="0.3">
      <c r="B919" s="80">
        <v>911</v>
      </c>
      <c r="C919" s="84" t="s">
        <v>846</v>
      </c>
      <c r="D919" s="82" t="s">
        <v>847</v>
      </c>
      <c r="E919" s="83">
        <v>8594</v>
      </c>
      <c r="F919" s="84" t="s">
        <v>16</v>
      </c>
      <c r="G919" s="83" t="s">
        <v>124</v>
      </c>
      <c r="H919" s="83" t="s">
        <v>14</v>
      </c>
      <c r="I919" s="83" t="s">
        <v>13</v>
      </c>
      <c r="J919" s="84">
        <v>55</v>
      </c>
      <c r="K919" s="84"/>
      <c r="L919" s="84" t="s">
        <v>26</v>
      </c>
      <c r="M919" s="84" t="s">
        <v>88</v>
      </c>
      <c r="N919" s="85">
        <v>45975</v>
      </c>
      <c r="O919" s="86" t="s">
        <v>25</v>
      </c>
      <c r="P919" s="97" t="s">
        <v>20</v>
      </c>
      <c r="Q919" s="91"/>
      <c r="R919" s="91"/>
      <c r="S919" s="30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</row>
    <row r="920" spans="2:37" ht="16.2" x14ac:dyDescent="0.3">
      <c r="B920" s="80">
        <v>912</v>
      </c>
      <c r="C920" s="84" t="s">
        <v>1241</v>
      </c>
      <c r="D920" s="82" t="s">
        <v>1242</v>
      </c>
      <c r="E920" s="83">
        <v>8595</v>
      </c>
      <c r="F920" s="84" t="s">
        <v>28</v>
      </c>
      <c r="G920" s="84" t="s">
        <v>80</v>
      </c>
      <c r="H920" s="83" t="s">
        <v>14</v>
      </c>
      <c r="I920" s="83" t="s">
        <v>13</v>
      </c>
      <c r="J920" s="84">
        <v>40</v>
      </c>
      <c r="K920" s="84"/>
      <c r="L920" s="84" t="s">
        <v>26</v>
      </c>
      <c r="M920" s="84" t="s">
        <v>88</v>
      </c>
      <c r="N920" s="85">
        <v>45975</v>
      </c>
      <c r="O920" s="86" t="s">
        <v>25</v>
      </c>
      <c r="P920" s="97" t="s">
        <v>9</v>
      </c>
      <c r="Q920" s="91"/>
      <c r="R920" s="91"/>
      <c r="S920" s="30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</row>
    <row r="921" spans="2:37" ht="16.2" x14ac:dyDescent="0.3">
      <c r="B921" s="80">
        <v>913</v>
      </c>
      <c r="C921" s="84" t="s">
        <v>194</v>
      </c>
      <c r="D921" s="82" t="s">
        <v>1243</v>
      </c>
      <c r="E921" s="83">
        <v>8596</v>
      </c>
      <c r="F921" s="84" t="s">
        <v>28</v>
      </c>
      <c r="G921" s="83" t="s">
        <v>83</v>
      </c>
      <c r="H921" s="83" t="s">
        <v>14</v>
      </c>
      <c r="I921" s="83" t="s">
        <v>13</v>
      </c>
      <c r="J921" s="84">
        <v>40</v>
      </c>
      <c r="K921" s="84"/>
      <c r="L921" s="84" t="s">
        <v>26</v>
      </c>
      <c r="M921" s="84" t="s">
        <v>88</v>
      </c>
      <c r="N921" s="85">
        <v>45975</v>
      </c>
      <c r="O921" s="86" t="s">
        <v>10</v>
      </c>
      <c r="P921" s="97" t="s">
        <v>9</v>
      </c>
      <c r="Q921" s="91"/>
      <c r="R921" s="91"/>
      <c r="S921" s="30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</row>
    <row r="922" spans="2:37" ht="16.2" x14ac:dyDescent="0.3">
      <c r="B922" s="80">
        <v>914</v>
      </c>
      <c r="C922" s="84" t="s">
        <v>1067</v>
      </c>
      <c r="D922" s="82" t="s">
        <v>1068</v>
      </c>
      <c r="E922" s="83">
        <v>6537</v>
      </c>
      <c r="F922" s="83" t="s">
        <v>28</v>
      </c>
      <c r="G922" s="83" t="s">
        <v>83</v>
      </c>
      <c r="H922" s="83" t="s">
        <v>14</v>
      </c>
      <c r="I922" s="83" t="s">
        <v>19</v>
      </c>
      <c r="J922" s="83">
        <v>40</v>
      </c>
      <c r="K922" s="84"/>
      <c r="L922" s="83" t="s">
        <v>12</v>
      </c>
      <c r="M922" s="83" t="s">
        <v>60</v>
      </c>
      <c r="N922" s="85">
        <v>45908</v>
      </c>
      <c r="O922" s="86" t="s">
        <v>25</v>
      </c>
      <c r="P922" s="85" t="s">
        <v>9</v>
      </c>
      <c r="Q922" s="91">
        <v>994689077</v>
      </c>
      <c r="R922" s="87"/>
      <c r="S922" s="30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</row>
    <row r="923" spans="2:37" ht="16.2" x14ac:dyDescent="0.3">
      <c r="B923" s="80">
        <v>915</v>
      </c>
      <c r="C923" s="84" t="s">
        <v>1067</v>
      </c>
      <c r="D923" s="82" t="s">
        <v>1068</v>
      </c>
      <c r="E923" s="83">
        <v>6538</v>
      </c>
      <c r="F923" s="84" t="s">
        <v>28</v>
      </c>
      <c r="G923" s="83" t="s">
        <v>83</v>
      </c>
      <c r="H923" s="83" t="s">
        <v>14</v>
      </c>
      <c r="I923" s="83" t="s">
        <v>13</v>
      </c>
      <c r="J923" s="84">
        <v>40</v>
      </c>
      <c r="K923" s="84"/>
      <c r="L923" s="84" t="s">
        <v>12</v>
      </c>
      <c r="M923" s="84" t="s">
        <v>60</v>
      </c>
      <c r="N923" s="85">
        <v>45908</v>
      </c>
      <c r="O923" s="86" t="s">
        <v>25</v>
      </c>
      <c r="P923" s="97" t="s">
        <v>9</v>
      </c>
      <c r="Q923" s="91">
        <v>994689077</v>
      </c>
      <c r="R923" s="91"/>
      <c r="S923" s="30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</row>
    <row r="924" spans="2:37" ht="16.2" x14ac:dyDescent="0.3">
      <c r="B924" s="80">
        <v>916</v>
      </c>
      <c r="C924" s="84" t="s">
        <v>1244</v>
      </c>
      <c r="D924" s="82" t="s">
        <v>1245</v>
      </c>
      <c r="E924" s="83">
        <v>8597</v>
      </c>
      <c r="F924" s="83" t="s">
        <v>28</v>
      </c>
      <c r="G924" s="83" t="s">
        <v>301</v>
      </c>
      <c r="H924" s="83" t="s">
        <v>14</v>
      </c>
      <c r="I924" s="83" t="s">
        <v>13</v>
      </c>
      <c r="J924" s="83">
        <v>100</v>
      </c>
      <c r="K924" s="84"/>
      <c r="L924" s="83" t="s">
        <v>26</v>
      </c>
      <c r="M924" s="83" t="s">
        <v>216</v>
      </c>
      <c r="N924" s="85">
        <v>45976</v>
      </c>
      <c r="O924" s="86" t="s">
        <v>25</v>
      </c>
      <c r="P924" s="85" t="s">
        <v>20</v>
      </c>
      <c r="Q924" s="91">
        <v>243991698080</v>
      </c>
      <c r="R924" s="87"/>
      <c r="S924" s="30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</row>
    <row r="925" spans="2:37" ht="16.2" x14ac:dyDescent="0.3">
      <c r="B925" s="80">
        <v>917</v>
      </c>
      <c r="C925" s="84" t="s">
        <v>1246</v>
      </c>
      <c r="D925" s="82" t="s">
        <v>1247</v>
      </c>
      <c r="E925" s="83">
        <v>8598</v>
      </c>
      <c r="F925" s="83" t="s">
        <v>16</v>
      </c>
      <c r="G925" s="83" t="s">
        <v>57</v>
      </c>
      <c r="H925" s="83" t="s">
        <v>14</v>
      </c>
      <c r="I925" s="83" t="s">
        <v>13</v>
      </c>
      <c r="J925" s="83">
        <v>45</v>
      </c>
      <c r="K925" s="84"/>
      <c r="L925" s="83" t="s">
        <v>26</v>
      </c>
      <c r="M925" s="83" t="s">
        <v>216</v>
      </c>
      <c r="N925" s="85">
        <v>45976</v>
      </c>
      <c r="O925" s="86" t="s">
        <v>25</v>
      </c>
      <c r="P925" s="85" t="s">
        <v>20</v>
      </c>
      <c r="Q925" s="91">
        <v>997123885</v>
      </c>
      <c r="R925" s="87"/>
      <c r="S925" s="30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</row>
    <row r="926" spans="2:37" ht="16.2" x14ac:dyDescent="0.3">
      <c r="B926" s="80">
        <v>918</v>
      </c>
      <c r="C926" s="84" t="s">
        <v>396</v>
      </c>
      <c r="D926" s="82" t="s">
        <v>395</v>
      </c>
      <c r="E926" s="83">
        <v>8600</v>
      </c>
      <c r="F926" s="84" t="s">
        <v>28</v>
      </c>
      <c r="G926" s="83" t="s">
        <v>31</v>
      </c>
      <c r="H926" s="83" t="s">
        <v>14</v>
      </c>
      <c r="I926" s="83" t="s">
        <v>13</v>
      </c>
      <c r="J926" s="84">
        <v>45</v>
      </c>
      <c r="K926" s="84"/>
      <c r="L926" s="84" t="s">
        <v>12</v>
      </c>
      <c r="M926" s="84" t="s">
        <v>216</v>
      </c>
      <c r="N926" s="85">
        <v>45976</v>
      </c>
      <c r="O926" s="86" t="s">
        <v>25</v>
      </c>
      <c r="P926" s="97" t="s">
        <v>20</v>
      </c>
      <c r="Q926" s="91"/>
      <c r="R926" s="91"/>
      <c r="S926" s="30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</row>
    <row r="927" spans="2:37" ht="16.2" x14ac:dyDescent="0.3">
      <c r="B927" s="80">
        <v>919</v>
      </c>
      <c r="C927" s="84" t="s">
        <v>613</v>
      </c>
      <c r="D927" s="82" t="s">
        <v>612</v>
      </c>
      <c r="E927" s="83">
        <v>8599</v>
      </c>
      <c r="F927" s="83" t="s">
        <v>16</v>
      </c>
      <c r="G927" s="83" t="s">
        <v>97</v>
      </c>
      <c r="H927" s="83" t="s">
        <v>14</v>
      </c>
      <c r="I927" s="83" t="s">
        <v>13</v>
      </c>
      <c r="J927" s="83">
        <v>100</v>
      </c>
      <c r="K927" s="83"/>
      <c r="L927" s="83" t="s">
        <v>12</v>
      </c>
      <c r="M927" s="83" t="s">
        <v>216</v>
      </c>
      <c r="N927" s="85">
        <v>45976</v>
      </c>
      <c r="O927" s="86" t="s">
        <v>25</v>
      </c>
      <c r="P927" s="85" t="s">
        <v>20</v>
      </c>
      <c r="Q927" s="91">
        <v>997021523</v>
      </c>
      <c r="R927" s="87"/>
      <c r="S927" s="30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</row>
    <row r="928" spans="2:37" ht="16.2" x14ac:dyDescent="0.3">
      <c r="B928" s="80">
        <v>920</v>
      </c>
      <c r="C928" s="84" t="s">
        <v>362</v>
      </c>
      <c r="D928" s="82" t="s">
        <v>361</v>
      </c>
      <c r="E928" s="83">
        <v>8601</v>
      </c>
      <c r="F928" s="84" t="s">
        <v>28</v>
      </c>
      <c r="G928" s="83" t="s">
        <v>301</v>
      </c>
      <c r="H928" s="83" t="s">
        <v>14</v>
      </c>
      <c r="I928" s="83" t="s">
        <v>281</v>
      </c>
      <c r="J928" s="84">
        <v>86.95</v>
      </c>
      <c r="K928" s="84"/>
      <c r="L928" s="84" t="s">
        <v>26</v>
      </c>
      <c r="M928" s="84" t="s">
        <v>216</v>
      </c>
      <c r="N928" s="85">
        <v>45976</v>
      </c>
      <c r="O928" s="86" t="s">
        <v>25</v>
      </c>
      <c r="P928" s="97" t="s">
        <v>20</v>
      </c>
      <c r="Q928" s="91">
        <v>818444560</v>
      </c>
      <c r="R928" s="91"/>
      <c r="S928" s="30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</row>
    <row r="929" spans="2:37" ht="16.2" x14ac:dyDescent="0.3">
      <c r="B929" s="80">
        <v>921</v>
      </c>
      <c r="C929" s="84" t="s">
        <v>1248</v>
      </c>
      <c r="D929" s="82" t="s">
        <v>1249</v>
      </c>
      <c r="E929" s="83">
        <v>8602</v>
      </c>
      <c r="F929" s="84" t="s">
        <v>16</v>
      </c>
      <c r="G929" s="84" t="s">
        <v>50</v>
      </c>
      <c r="H929" s="84" t="s">
        <v>14</v>
      </c>
      <c r="I929" s="84" t="s">
        <v>13</v>
      </c>
      <c r="J929" s="84">
        <v>40</v>
      </c>
      <c r="K929" s="84"/>
      <c r="L929" s="84" t="s">
        <v>26</v>
      </c>
      <c r="M929" s="84" t="s">
        <v>60</v>
      </c>
      <c r="N929" s="85">
        <v>45978</v>
      </c>
      <c r="O929" s="86" t="s">
        <v>10</v>
      </c>
      <c r="P929" s="97" t="s">
        <v>9</v>
      </c>
      <c r="Q929" s="91">
        <v>991219665</v>
      </c>
      <c r="R929" s="91"/>
      <c r="S929" s="30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</row>
    <row r="930" spans="2:37" ht="16.2" x14ac:dyDescent="0.3">
      <c r="B930" s="80">
        <v>922</v>
      </c>
      <c r="C930" s="84" t="s">
        <v>381</v>
      </c>
      <c r="D930" s="82" t="s">
        <v>380</v>
      </c>
      <c r="E930" s="83">
        <v>8603</v>
      </c>
      <c r="F930" s="83" t="s">
        <v>28</v>
      </c>
      <c r="G930" s="84" t="s">
        <v>77</v>
      </c>
      <c r="H930" s="83" t="s">
        <v>14</v>
      </c>
      <c r="I930" s="83" t="s">
        <v>13</v>
      </c>
      <c r="J930" s="83">
        <v>40</v>
      </c>
      <c r="K930" s="83"/>
      <c r="L930" s="83" t="s">
        <v>26</v>
      </c>
      <c r="M930" s="83" t="s">
        <v>60</v>
      </c>
      <c r="N930" s="85">
        <v>45978</v>
      </c>
      <c r="O930" s="86" t="s">
        <v>10</v>
      </c>
      <c r="P930" s="85" t="s">
        <v>0</v>
      </c>
      <c r="Q930" s="91"/>
      <c r="R930" s="87" t="s">
        <v>1250</v>
      </c>
      <c r="S930" s="30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</row>
    <row r="931" spans="2:37" ht="16.2" x14ac:dyDescent="0.3">
      <c r="B931" s="80">
        <v>923</v>
      </c>
      <c r="C931" s="84" t="s">
        <v>384</v>
      </c>
      <c r="D931" s="82" t="s">
        <v>383</v>
      </c>
      <c r="E931" s="83">
        <v>8604</v>
      </c>
      <c r="F931" s="84" t="s">
        <v>28</v>
      </c>
      <c r="G931" s="83" t="s">
        <v>50</v>
      </c>
      <c r="H931" s="83" t="s">
        <v>14</v>
      </c>
      <c r="I931" s="83" t="s">
        <v>13</v>
      </c>
      <c r="J931" s="84">
        <v>40</v>
      </c>
      <c r="K931" s="84"/>
      <c r="L931" s="84" t="s">
        <v>26</v>
      </c>
      <c r="M931" s="84" t="s">
        <v>60</v>
      </c>
      <c r="N931" s="85">
        <v>45978</v>
      </c>
      <c r="O931" s="86" t="s">
        <v>10</v>
      </c>
      <c r="P931" s="97" t="s">
        <v>9</v>
      </c>
      <c r="Q931" s="91" t="s">
        <v>382</v>
      </c>
      <c r="R931" s="91"/>
      <c r="S931" s="30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</row>
    <row r="932" spans="2:37" ht="16.2" x14ac:dyDescent="0.3">
      <c r="B932" s="80">
        <v>924</v>
      </c>
      <c r="C932" s="84" t="s">
        <v>1251</v>
      </c>
      <c r="D932" s="82" t="s">
        <v>1252</v>
      </c>
      <c r="E932" s="83">
        <v>8605</v>
      </c>
      <c r="F932" s="84" t="s">
        <v>16</v>
      </c>
      <c r="G932" s="83" t="s">
        <v>80</v>
      </c>
      <c r="H932" s="83" t="s">
        <v>14</v>
      </c>
      <c r="I932" s="83" t="s">
        <v>13</v>
      </c>
      <c r="J932" s="84">
        <v>40</v>
      </c>
      <c r="K932" s="84"/>
      <c r="L932" s="84" t="s">
        <v>12</v>
      </c>
      <c r="M932" s="84" t="s">
        <v>60</v>
      </c>
      <c r="N932" s="85">
        <v>45978</v>
      </c>
      <c r="O932" s="86" t="s">
        <v>10</v>
      </c>
      <c r="P932" s="97" t="s">
        <v>9</v>
      </c>
      <c r="Q932" s="91">
        <v>850136358</v>
      </c>
      <c r="R932" s="91"/>
      <c r="S932" s="30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</row>
    <row r="933" spans="2:37" ht="16.2" x14ac:dyDescent="0.3">
      <c r="B933" s="80">
        <v>925</v>
      </c>
      <c r="C933" s="84" t="s">
        <v>585</v>
      </c>
      <c r="D933" s="82" t="s">
        <v>584</v>
      </c>
      <c r="E933" s="83">
        <v>8606</v>
      </c>
      <c r="F933" s="84" t="s">
        <v>28</v>
      </c>
      <c r="G933" s="83" t="s">
        <v>46</v>
      </c>
      <c r="H933" s="83" t="s">
        <v>14</v>
      </c>
      <c r="I933" s="83" t="s">
        <v>13</v>
      </c>
      <c r="J933" s="84">
        <v>40</v>
      </c>
      <c r="K933" s="84"/>
      <c r="L933" s="84" t="s">
        <v>12</v>
      </c>
      <c r="M933" s="84" t="s">
        <v>60</v>
      </c>
      <c r="N933" s="85">
        <v>45978</v>
      </c>
      <c r="O933" s="86" t="s">
        <v>10</v>
      </c>
      <c r="P933" s="97" t="s">
        <v>0</v>
      </c>
      <c r="Q933" s="91">
        <v>972106665</v>
      </c>
      <c r="R933" s="91"/>
      <c r="S933" s="30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</row>
    <row r="934" spans="2:37" ht="16.2" x14ac:dyDescent="0.3">
      <c r="B934" s="80">
        <v>926</v>
      </c>
      <c r="C934" s="84" t="s">
        <v>630</v>
      </c>
      <c r="D934" s="82" t="s">
        <v>629</v>
      </c>
      <c r="E934" s="83">
        <v>8608</v>
      </c>
      <c r="F934" s="84" t="s">
        <v>16</v>
      </c>
      <c r="G934" s="84" t="s">
        <v>133</v>
      </c>
      <c r="H934" s="84" t="s">
        <v>14</v>
      </c>
      <c r="I934" s="84" t="s">
        <v>13</v>
      </c>
      <c r="J934" s="84">
        <v>35</v>
      </c>
      <c r="K934" s="84"/>
      <c r="L934" s="84" t="s">
        <v>12</v>
      </c>
      <c r="M934" s="84" t="s">
        <v>60</v>
      </c>
      <c r="N934" s="85">
        <v>45978</v>
      </c>
      <c r="O934" s="86" t="s">
        <v>10</v>
      </c>
      <c r="P934" s="97" t="s">
        <v>9</v>
      </c>
      <c r="Q934" s="91">
        <v>844557773</v>
      </c>
      <c r="R934" s="91"/>
      <c r="S934" s="30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</row>
    <row r="935" spans="2:37" ht="16.2" x14ac:dyDescent="0.3">
      <c r="B935" s="80">
        <v>927</v>
      </c>
      <c r="C935" s="84" t="s">
        <v>290</v>
      </c>
      <c r="D935" s="82" t="s">
        <v>289</v>
      </c>
      <c r="E935" s="83">
        <v>8609</v>
      </c>
      <c r="F935" s="84" t="s">
        <v>16</v>
      </c>
      <c r="G935" s="83" t="s">
        <v>83</v>
      </c>
      <c r="H935" s="83" t="s">
        <v>14</v>
      </c>
      <c r="I935" s="83" t="s">
        <v>13</v>
      </c>
      <c r="J935" s="84">
        <v>40</v>
      </c>
      <c r="K935" s="84"/>
      <c r="L935" s="84" t="s">
        <v>26</v>
      </c>
      <c r="M935" s="84" t="s">
        <v>60</v>
      </c>
      <c r="N935" s="85">
        <v>45978</v>
      </c>
      <c r="O935" s="86" t="s">
        <v>10</v>
      </c>
      <c r="P935" s="97" t="s">
        <v>9</v>
      </c>
      <c r="Q935" s="91"/>
      <c r="R935" s="91"/>
      <c r="S935" s="30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</row>
    <row r="936" spans="2:37" ht="16.2" x14ac:dyDescent="0.3">
      <c r="B936" s="80">
        <v>928</v>
      </c>
      <c r="C936" s="84" t="s">
        <v>856</v>
      </c>
      <c r="D936" s="82" t="s">
        <v>857</v>
      </c>
      <c r="E936" s="83">
        <v>8610</v>
      </c>
      <c r="F936" s="83" t="s">
        <v>16</v>
      </c>
      <c r="G936" s="83" t="s">
        <v>80</v>
      </c>
      <c r="H936" s="83" t="s">
        <v>14</v>
      </c>
      <c r="I936" s="83" t="s">
        <v>13</v>
      </c>
      <c r="J936" s="83">
        <v>40</v>
      </c>
      <c r="K936" s="83"/>
      <c r="L936" s="83" t="s">
        <v>26</v>
      </c>
      <c r="M936" s="83" t="s">
        <v>60</v>
      </c>
      <c r="N936" s="85">
        <v>45978</v>
      </c>
      <c r="O936" s="86" t="s">
        <v>25</v>
      </c>
      <c r="P936" s="85" t="s">
        <v>9</v>
      </c>
      <c r="Q936" s="91"/>
      <c r="R936" s="87"/>
      <c r="S936" s="30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</row>
    <row r="937" spans="2:37" ht="16.2" x14ac:dyDescent="0.3">
      <c r="B937" s="80">
        <v>929</v>
      </c>
      <c r="C937" s="84" t="s">
        <v>858</v>
      </c>
      <c r="D937" s="82" t="s">
        <v>859</v>
      </c>
      <c r="E937" s="83">
        <v>8611</v>
      </c>
      <c r="F937" s="83" t="s">
        <v>16</v>
      </c>
      <c r="G937" s="83" t="s">
        <v>201</v>
      </c>
      <c r="H937" s="83" t="s">
        <v>14</v>
      </c>
      <c r="I937" s="83" t="s">
        <v>13</v>
      </c>
      <c r="J937" s="83">
        <v>35</v>
      </c>
      <c r="K937" s="84"/>
      <c r="L937" s="83" t="s">
        <v>26</v>
      </c>
      <c r="M937" s="83" t="s">
        <v>60</v>
      </c>
      <c r="N937" s="85">
        <v>45978</v>
      </c>
      <c r="O937" s="86" t="s">
        <v>25</v>
      </c>
      <c r="P937" s="85" t="s">
        <v>9</v>
      </c>
      <c r="Q937" s="91"/>
      <c r="R937" s="87"/>
      <c r="S937" s="30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</row>
    <row r="938" spans="2:37" ht="16.2" x14ac:dyDescent="0.3">
      <c r="B938" s="80">
        <v>930</v>
      </c>
      <c r="C938" s="84" t="s">
        <v>288</v>
      </c>
      <c r="D938" s="82" t="s">
        <v>287</v>
      </c>
      <c r="E938" s="83">
        <v>8612</v>
      </c>
      <c r="F938" s="84" t="s">
        <v>16</v>
      </c>
      <c r="G938" s="84" t="s">
        <v>77</v>
      </c>
      <c r="H938" s="84" t="s">
        <v>14</v>
      </c>
      <c r="I938" s="84" t="s">
        <v>13</v>
      </c>
      <c r="J938" s="84">
        <v>35</v>
      </c>
      <c r="K938" s="84"/>
      <c r="L938" s="84" t="s">
        <v>26</v>
      </c>
      <c r="M938" s="84" t="s">
        <v>60</v>
      </c>
      <c r="N938" s="85">
        <v>45978</v>
      </c>
      <c r="O938" s="86" t="s">
        <v>10</v>
      </c>
      <c r="P938" s="97" t="s">
        <v>0</v>
      </c>
      <c r="Q938" s="91" t="s">
        <v>286</v>
      </c>
      <c r="R938" s="91"/>
      <c r="S938" s="30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</row>
    <row r="939" spans="2:37" ht="16.2" x14ac:dyDescent="0.3">
      <c r="B939" s="80">
        <v>931</v>
      </c>
      <c r="C939" s="84" t="s">
        <v>169</v>
      </c>
      <c r="D939" s="82" t="s">
        <v>168</v>
      </c>
      <c r="E939" s="83">
        <v>8613</v>
      </c>
      <c r="F939" s="84" t="s">
        <v>16</v>
      </c>
      <c r="G939" s="83" t="s">
        <v>167</v>
      </c>
      <c r="H939" s="83" t="s">
        <v>14</v>
      </c>
      <c r="I939" s="83" t="s">
        <v>281</v>
      </c>
      <c r="J939" s="84">
        <v>80</v>
      </c>
      <c r="K939" s="84"/>
      <c r="L939" s="84" t="s">
        <v>12</v>
      </c>
      <c r="M939" s="84" t="s">
        <v>60</v>
      </c>
      <c r="N939" s="85">
        <v>45978</v>
      </c>
      <c r="O939" s="86" t="s">
        <v>25</v>
      </c>
      <c r="P939" s="97" t="s">
        <v>20</v>
      </c>
      <c r="Q939" s="91">
        <v>857374398</v>
      </c>
      <c r="R939" s="91"/>
      <c r="S939" s="30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</row>
    <row r="940" spans="2:37" ht="16.2" x14ac:dyDescent="0.3">
      <c r="B940" s="80">
        <v>932</v>
      </c>
      <c r="C940" s="84" t="s">
        <v>1253</v>
      </c>
      <c r="D940" s="82" t="s">
        <v>1254</v>
      </c>
      <c r="E940" s="83">
        <v>8614</v>
      </c>
      <c r="F940" s="84" t="s">
        <v>28</v>
      </c>
      <c r="G940" s="84" t="s">
        <v>37</v>
      </c>
      <c r="H940" s="84" t="s">
        <v>14</v>
      </c>
      <c r="I940" s="84" t="s">
        <v>13</v>
      </c>
      <c r="J940" s="84">
        <v>45</v>
      </c>
      <c r="K940" s="84"/>
      <c r="L940" s="84" t="s">
        <v>12</v>
      </c>
      <c r="M940" s="84" t="s">
        <v>60</v>
      </c>
      <c r="N940" s="85">
        <v>45978</v>
      </c>
      <c r="O940" s="86" t="s">
        <v>10</v>
      </c>
      <c r="P940" s="97" t="s">
        <v>20</v>
      </c>
      <c r="Q940" s="91">
        <v>857374398</v>
      </c>
      <c r="R940" s="91"/>
      <c r="S940" s="30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</row>
    <row r="941" spans="2:37" ht="16.2" x14ac:dyDescent="0.3">
      <c r="B941" s="80">
        <v>933</v>
      </c>
      <c r="C941" s="84" t="s">
        <v>148</v>
      </c>
      <c r="D941" s="82" t="s">
        <v>147</v>
      </c>
      <c r="E941" s="83">
        <v>8615</v>
      </c>
      <c r="F941" s="84" t="s">
        <v>16</v>
      </c>
      <c r="G941" s="84" t="s">
        <v>146</v>
      </c>
      <c r="H941" s="83" t="s">
        <v>14</v>
      </c>
      <c r="I941" s="83" t="s">
        <v>13</v>
      </c>
      <c r="J941" s="84">
        <v>55</v>
      </c>
      <c r="K941" s="84"/>
      <c r="L941" s="84" t="s">
        <v>12</v>
      </c>
      <c r="M941" s="84" t="s">
        <v>60</v>
      </c>
      <c r="N941" s="85">
        <v>45978</v>
      </c>
      <c r="O941" s="86" t="s">
        <v>10</v>
      </c>
      <c r="P941" s="97" t="s">
        <v>20</v>
      </c>
      <c r="Q941" s="91"/>
      <c r="R941" s="91"/>
      <c r="S941" s="30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</row>
    <row r="942" spans="2:37" ht="16.2" x14ac:dyDescent="0.3">
      <c r="B942" s="80">
        <v>934</v>
      </c>
      <c r="C942" s="84" t="s">
        <v>1255</v>
      </c>
      <c r="D942" s="82" t="s">
        <v>1256</v>
      </c>
      <c r="E942" s="83">
        <v>8616</v>
      </c>
      <c r="F942" s="84" t="s">
        <v>28</v>
      </c>
      <c r="G942" s="84" t="s">
        <v>130</v>
      </c>
      <c r="H942" s="84" t="s">
        <v>14</v>
      </c>
      <c r="I942" s="84" t="s">
        <v>13</v>
      </c>
      <c r="J942" s="84">
        <v>55</v>
      </c>
      <c r="K942" s="84"/>
      <c r="L942" s="84" t="s">
        <v>26</v>
      </c>
      <c r="M942" s="84" t="s">
        <v>60</v>
      </c>
      <c r="N942" s="85">
        <v>45978</v>
      </c>
      <c r="O942" s="86" t="s">
        <v>10</v>
      </c>
      <c r="P942" s="97" t="s">
        <v>20</v>
      </c>
      <c r="Q942" s="91">
        <v>974919847</v>
      </c>
      <c r="R942" s="91"/>
      <c r="S942" s="30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</row>
    <row r="943" spans="2:37" ht="16.2" x14ac:dyDescent="0.3">
      <c r="B943" s="80">
        <v>935</v>
      </c>
      <c r="C943" s="84" t="s">
        <v>253</v>
      </c>
      <c r="D943" s="82" t="s">
        <v>252</v>
      </c>
      <c r="E943" s="83">
        <v>8617</v>
      </c>
      <c r="F943" s="84" t="s">
        <v>28</v>
      </c>
      <c r="G943" s="84" t="s">
        <v>27</v>
      </c>
      <c r="H943" s="84" t="s">
        <v>14</v>
      </c>
      <c r="I943" s="84" t="s">
        <v>13</v>
      </c>
      <c r="J943" s="84">
        <v>55</v>
      </c>
      <c r="K943" s="84"/>
      <c r="L943" s="84" t="s">
        <v>12</v>
      </c>
      <c r="M943" s="84" t="s">
        <v>60</v>
      </c>
      <c r="N943" s="85">
        <v>45978</v>
      </c>
      <c r="O943" s="86" t="s">
        <v>25</v>
      </c>
      <c r="P943" s="97" t="s">
        <v>20</v>
      </c>
      <c r="Q943" s="91">
        <v>971028140</v>
      </c>
      <c r="R943" s="91"/>
      <c r="S943" s="30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</row>
    <row r="944" spans="2:37" ht="16.2" x14ac:dyDescent="0.3">
      <c r="B944" s="80">
        <v>936</v>
      </c>
      <c r="C944" s="84" t="s">
        <v>346</v>
      </c>
      <c r="D944" s="82" t="s">
        <v>345</v>
      </c>
      <c r="E944" s="83">
        <v>8618</v>
      </c>
      <c r="F944" s="83" t="s">
        <v>16</v>
      </c>
      <c r="G944" s="83" t="s">
        <v>46</v>
      </c>
      <c r="H944" s="83" t="s">
        <v>14</v>
      </c>
      <c r="I944" s="83" t="s">
        <v>13</v>
      </c>
      <c r="J944" s="83">
        <v>40</v>
      </c>
      <c r="K944" s="84"/>
      <c r="L944" s="83" t="s">
        <v>26</v>
      </c>
      <c r="M944" s="83" t="s">
        <v>60</v>
      </c>
      <c r="N944" s="85">
        <v>45978</v>
      </c>
      <c r="O944" s="86" t="s">
        <v>10</v>
      </c>
      <c r="P944" s="85" t="s">
        <v>0</v>
      </c>
      <c r="Q944" s="91">
        <v>970969828</v>
      </c>
      <c r="R944" s="87"/>
      <c r="S944" s="30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</row>
    <row r="945" spans="2:37" ht="16.2" x14ac:dyDescent="0.3">
      <c r="B945" s="80">
        <v>937</v>
      </c>
      <c r="C945" s="84" t="s">
        <v>1257</v>
      </c>
      <c r="D945" s="82" t="s">
        <v>1258</v>
      </c>
      <c r="E945" s="83">
        <v>8619</v>
      </c>
      <c r="F945" s="83" t="s">
        <v>28</v>
      </c>
      <c r="G945" s="83" t="s">
        <v>27</v>
      </c>
      <c r="H945" s="83" t="s">
        <v>14</v>
      </c>
      <c r="I945" s="83" t="s">
        <v>281</v>
      </c>
      <c r="J945" s="83">
        <v>30</v>
      </c>
      <c r="K945" s="84"/>
      <c r="L945" s="83" t="s">
        <v>26</v>
      </c>
      <c r="M945" s="83" t="s">
        <v>60</v>
      </c>
      <c r="N945" s="85">
        <v>45978</v>
      </c>
      <c r="O945" s="86" t="s">
        <v>25</v>
      </c>
      <c r="P945" s="85" t="s">
        <v>20</v>
      </c>
      <c r="Q945" s="91"/>
      <c r="R945" s="87"/>
      <c r="S945" s="30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</row>
    <row r="946" spans="2:37" ht="16.2" x14ac:dyDescent="0.3">
      <c r="B946" s="80">
        <v>938</v>
      </c>
      <c r="C946" s="84" t="s">
        <v>701</v>
      </c>
      <c r="D946" s="82" t="s">
        <v>700</v>
      </c>
      <c r="E946" s="83">
        <v>8620</v>
      </c>
      <c r="F946" s="84" t="s">
        <v>28</v>
      </c>
      <c r="G946" s="83" t="s">
        <v>31</v>
      </c>
      <c r="H946" s="83" t="s">
        <v>14</v>
      </c>
      <c r="I946" s="83" t="s">
        <v>21</v>
      </c>
      <c r="J946" s="84">
        <v>45</v>
      </c>
      <c r="K946" s="84"/>
      <c r="L946" s="84" t="s">
        <v>12</v>
      </c>
      <c r="M946" s="84" t="s">
        <v>60</v>
      </c>
      <c r="N946" s="85">
        <v>45978</v>
      </c>
      <c r="O946" s="86" t="s">
        <v>10</v>
      </c>
      <c r="P946" s="97" t="s">
        <v>20</v>
      </c>
      <c r="Q946" s="91">
        <v>840943022</v>
      </c>
      <c r="R946" s="91"/>
      <c r="S946" s="30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</row>
    <row r="947" spans="2:37" ht="16.2" x14ac:dyDescent="0.3">
      <c r="B947" s="80">
        <v>939</v>
      </c>
      <c r="C947" s="84" t="s">
        <v>703</v>
      </c>
      <c r="D947" s="82" t="s">
        <v>702</v>
      </c>
      <c r="E947" s="83">
        <v>8621</v>
      </c>
      <c r="F947" s="84" t="s">
        <v>16</v>
      </c>
      <c r="G947" s="84" t="s">
        <v>22</v>
      </c>
      <c r="H947" s="84" t="s">
        <v>14</v>
      </c>
      <c r="I947" s="84" t="s">
        <v>21</v>
      </c>
      <c r="J947" s="84">
        <v>45</v>
      </c>
      <c r="K947" s="84"/>
      <c r="L947" s="84" t="s">
        <v>26</v>
      </c>
      <c r="M947" s="84" t="s">
        <v>60</v>
      </c>
      <c r="N947" s="85">
        <v>45978</v>
      </c>
      <c r="O947" s="86" t="s">
        <v>10</v>
      </c>
      <c r="P947" s="97" t="s">
        <v>20</v>
      </c>
      <c r="Q947" s="91">
        <v>840943022</v>
      </c>
      <c r="R947" s="91"/>
      <c r="S947" s="30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</row>
    <row r="948" spans="2:37" ht="16.2" x14ac:dyDescent="0.3">
      <c r="B948" s="80">
        <v>940</v>
      </c>
      <c r="C948" s="84" t="s">
        <v>708</v>
      </c>
      <c r="D948" s="82" t="s">
        <v>707</v>
      </c>
      <c r="E948" s="83">
        <v>8622</v>
      </c>
      <c r="F948" s="84" t="s">
        <v>28</v>
      </c>
      <c r="G948" s="84" t="s">
        <v>15</v>
      </c>
      <c r="H948" s="84" t="s">
        <v>14</v>
      </c>
      <c r="I948" s="84" t="s">
        <v>21</v>
      </c>
      <c r="J948" s="84">
        <v>40</v>
      </c>
      <c r="K948" s="84"/>
      <c r="L948" s="84" t="s">
        <v>26</v>
      </c>
      <c r="M948" s="84" t="s">
        <v>60</v>
      </c>
      <c r="N948" s="85">
        <v>45978</v>
      </c>
      <c r="O948" s="86" t="s">
        <v>25</v>
      </c>
      <c r="P948" s="97" t="s">
        <v>9</v>
      </c>
      <c r="Q948" s="91" t="s">
        <v>706</v>
      </c>
      <c r="R948" s="91"/>
      <c r="S948" s="30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</row>
    <row r="949" spans="2:37" ht="16.2" x14ac:dyDescent="0.3">
      <c r="B949" s="80">
        <v>941</v>
      </c>
      <c r="C949" s="84" t="s">
        <v>705</v>
      </c>
      <c r="D949" s="82" t="s">
        <v>704</v>
      </c>
      <c r="E949" s="83">
        <v>8623</v>
      </c>
      <c r="F949" s="84" t="s">
        <v>28</v>
      </c>
      <c r="G949" s="84" t="s">
        <v>80</v>
      </c>
      <c r="H949" s="84" t="s">
        <v>14</v>
      </c>
      <c r="I949" s="84" t="s">
        <v>21</v>
      </c>
      <c r="J949" s="84">
        <v>40</v>
      </c>
      <c r="K949" s="84"/>
      <c r="L949" s="84" t="s">
        <v>26</v>
      </c>
      <c r="M949" s="84" t="s">
        <v>60</v>
      </c>
      <c r="N949" s="85">
        <v>45978</v>
      </c>
      <c r="O949" s="86" t="s">
        <v>25</v>
      </c>
      <c r="P949" s="97" t="s">
        <v>9</v>
      </c>
      <c r="Q949" s="91">
        <v>840943022</v>
      </c>
      <c r="R949" s="91"/>
      <c r="S949" s="30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</row>
    <row r="950" spans="2:37" ht="16.2" x14ac:dyDescent="0.3">
      <c r="B950" s="80">
        <v>942</v>
      </c>
      <c r="C950" s="84" t="s">
        <v>353</v>
      </c>
      <c r="D950" s="82" t="s">
        <v>352</v>
      </c>
      <c r="E950" s="83">
        <v>8624</v>
      </c>
      <c r="F950" s="84" t="s">
        <v>28</v>
      </c>
      <c r="G950" s="84" t="s">
        <v>100</v>
      </c>
      <c r="H950" s="84" t="s">
        <v>14</v>
      </c>
      <c r="I950" s="84" t="s">
        <v>103</v>
      </c>
      <c r="J950" s="84">
        <v>10</v>
      </c>
      <c r="K950" s="84"/>
      <c r="L950" s="84" t="s">
        <v>12</v>
      </c>
      <c r="M950" s="84" t="s">
        <v>60</v>
      </c>
      <c r="N950" s="85">
        <v>45978</v>
      </c>
      <c r="O950" s="86" t="s">
        <v>10</v>
      </c>
      <c r="P950" s="97" t="s">
        <v>20</v>
      </c>
      <c r="Q950" s="91">
        <v>810001139</v>
      </c>
      <c r="R950" s="91"/>
      <c r="S950" s="30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</row>
    <row r="951" spans="2:37" ht="16.2" x14ac:dyDescent="0.3">
      <c r="B951" s="80">
        <v>943</v>
      </c>
      <c r="C951" s="84" t="s">
        <v>353</v>
      </c>
      <c r="D951" s="82" t="s">
        <v>352</v>
      </c>
      <c r="E951" s="83">
        <v>8625</v>
      </c>
      <c r="F951" s="83" t="s">
        <v>28</v>
      </c>
      <c r="G951" s="83" t="s">
        <v>100</v>
      </c>
      <c r="H951" s="83" t="s">
        <v>14</v>
      </c>
      <c r="I951" s="83" t="s">
        <v>281</v>
      </c>
      <c r="J951" s="83">
        <v>20</v>
      </c>
      <c r="K951" s="83"/>
      <c r="L951" s="83" t="s">
        <v>12</v>
      </c>
      <c r="M951" s="83" t="s">
        <v>60</v>
      </c>
      <c r="N951" s="85">
        <v>45978</v>
      </c>
      <c r="O951" s="86" t="s">
        <v>10</v>
      </c>
      <c r="P951" s="85" t="s">
        <v>20</v>
      </c>
      <c r="Q951" s="91">
        <v>810001139</v>
      </c>
      <c r="R951" s="87"/>
      <c r="S951" s="30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</row>
    <row r="952" spans="2:37" ht="16.2" x14ac:dyDescent="0.3">
      <c r="B952" s="80">
        <v>944</v>
      </c>
      <c r="C952" s="84" t="s">
        <v>355</v>
      </c>
      <c r="D952" s="82" t="s">
        <v>354</v>
      </c>
      <c r="E952" s="83">
        <v>8626</v>
      </c>
      <c r="F952" s="84" t="s">
        <v>16</v>
      </c>
      <c r="G952" s="83" t="s">
        <v>146</v>
      </c>
      <c r="H952" s="83" t="s">
        <v>14</v>
      </c>
      <c r="I952" s="83" t="s">
        <v>281</v>
      </c>
      <c r="J952" s="84">
        <v>20</v>
      </c>
      <c r="K952" s="84"/>
      <c r="L952" s="84" t="s">
        <v>12</v>
      </c>
      <c r="M952" s="84" t="s">
        <v>60</v>
      </c>
      <c r="N952" s="85">
        <v>45978</v>
      </c>
      <c r="O952" s="86" t="s">
        <v>10</v>
      </c>
      <c r="P952" s="97" t="s">
        <v>20</v>
      </c>
      <c r="Q952" s="91">
        <v>810001139</v>
      </c>
      <c r="R952" s="91"/>
      <c r="S952" s="30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</row>
    <row r="953" spans="2:37" ht="16.2" x14ac:dyDescent="0.3">
      <c r="B953" s="80">
        <v>945</v>
      </c>
      <c r="C953" s="84" t="s">
        <v>355</v>
      </c>
      <c r="D953" s="82" t="s">
        <v>354</v>
      </c>
      <c r="E953" s="83">
        <v>8627</v>
      </c>
      <c r="F953" s="83" t="s">
        <v>16</v>
      </c>
      <c r="G953" s="83" t="s">
        <v>146</v>
      </c>
      <c r="H953" s="83" t="s">
        <v>14</v>
      </c>
      <c r="I953" s="83" t="s">
        <v>103</v>
      </c>
      <c r="J953" s="83">
        <v>10</v>
      </c>
      <c r="K953" s="84"/>
      <c r="L953" s="83" t="s">
        <v>12</v>
      </c>
      <c r="M953" s="83" t="s">
        <v>60</v>
      </c>
      <c r="N953" s="85">
        <v>45978</v>
      </c>
      <c r="O953" s="86" t="s">
        <v>10</v>
      </c>
      <c r="P953" s="85" t="s">
        <v>20</v>
      </c>
      <c r="Q953" s="91">
        <v>810001139</v>
      </c>
      <c r="R953" s="87"/>
      <c r="S953" s="30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</row>
    <row r="954" spans="2:37" ht="16.2" x14ac:dyDescent="0.3">
      <c r="B954" s="80">
        <v>946</v>
      </c>
      <c r="C954" s="84" t="s">
        <v>1259</v>
      </c>
      <c r="D954" s="82" t="s">
        <v>1260</v>
      </c>
      <c r="E954" s="83">
        <v>8628</v>
      </c>
      <c r="F954" s="83" t="s">
        <v>28</v>
      </c>
      <c r="G954" s="83" t="s">
        <v>97</v>
      </c>
      <c r="H954" s="83" t="s">
        <v>14</v>
      </c>
      <c r="I954" s="83" t="s">
        <v>13</v>
      </c>
      <c r="J954" s="83">
        <v>100</v>
      </c>
      <c r="K954" s="84"/>
      <c r="L954" s="83" t="s">
        <v>12</v>
      </c>
      <c r="M954" s="83" t="s">
        <v>60</v>
      </c>
      <c r="N954" s="85">
        <v>45978</v>
      </c>
      <c r="O954" s="86" t="s">
        <v>25</v>
      </c>
      <c r="P954" s="85" t="s">
        <v>20</v>
      </c>
      <c r="Q954" s="91">
        <v>814935827</v>
      </c>
      <c r="R954" s="87"/>
      <c r="S954" s="30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</row>
    <row r="955" spans="2:37" ht="16.2" x14ac:dyDescent="0.3">
      <c r="B955" s="80">
        <v>947</v>
      </c>
      <c r="C955" s="84" t="s">
        <v>1259</v>
      </c>
      <c r="D955" s="82" t="s">
        <v>1260</v>
      </c>
      <c r="E955" s="83">
        <v>8629</v>
      </c>
      <c r="F955" s="83" t="s">
        <v>28</v>
      </c>
      <c r="G955" s="83" t="s">
        <v>97</v>
      </c>
      <c r="H955" s="83" t="s">
        <v>14</v>
      </c>
      <c r="I955" s="83" t="s">
        <v>785</v>
      </c>
      <c r="J955" s="83">
        <v>39.130000000000003</v>
      </c>
      <c r="K955" s="84"/>
      <c r="L955" s="83" t="s">
        <v>12</v>
      </c>
      <c r="M955" s="83" t="s">
        <v>60</v>
      </c>
      <c r="N955" s="85">
        <v>45978</v>
      </c>
      <c r="O955" s="86" t="s">
        <v>25</v>
      </c>
      <c r="P955" s="85" t="s">
        <v>20</v>
      </c>
      <c r="Q955" s="91">
        <v>814935827</v>
      </c>
      <c r="R955" s="87"/>
      <c r="S955" s="30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</row>
    <row r="956" spans="2:37" ht="16.2" x14ac:dyDescent="0.3">
      <c r="B956" s="80">
        <v>948</v>
      </c>
      <c r="C956" s="84" t="s">
        <v>1261</v>
      </c>
      <c r="D956" s="82" t="s">
        <v>1262</v>
      </c>
      <c r="E956" s="83">
        <v>8630</v>
      </c>
      <c r="F956" s="84" t="s">
        <v>28</v>
      </c>
      <c r="G956" s="84" t="s">
        <v>106</v>
      </c>
      <c r="H956" s="84" t="s">
        <v>14</v>
      </c>
      <c r="I956" s="84" t="s">
        <v>281</v>
      </c>
      <c r="J956" s="84">
        <v>79.56</v>
      </c>
      <c r="K956" s="84"/>
      <c r="L956" s="84" t="s">
        <v>12</v>
      </c>
      <c r="M956" s="84" t="s">
        <v>60</v>
      </c>
      <c r="N956" s="85">
        <v>45978</v>
      </c>
      <c r="O956" s="86" t="s">
        <v>25</v>
      </c>
      <c r="P956" s="97" t="s">
        <v>20</v>
      </c>
      <c r="Q956" s="91">
        <v>973199110</v>
      </c>
      <c r="R956" s="91"/>
      <c r="S956" s="30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</row>
    <row r="957" spans="2:37" ht="16.2" x14ac:dyDescent="0.3">
      <c r="B957" s="80">
        <v>949</v>
      </c>
      <c r="C957" s="84" t="s">
        <v>198</v>
      </c>
      <c r="D957" s="82" t="s">
        <v>197</v>
      </c>
      <c r="E957" s="83">
        <v>8631</v>
      </c>
      <c r="F957" s="83" t="s">
        <v>16</v>
      </c>
      <c r="G957" s="83" t="s">
        <v>83</v>
      </c>
      <c r="H957" s="83" t="s">
        <v>14</v>
      </c>
      <c r="I957" s="83" t="s">
        <v>13</v>
      </c>
      <c r="J957" s="83">
        <v>40</v>
      </c>
      <c r="K957" s="83"/>
      <c r="L957" s="83" t="s">
        <v>26</v>
      </c>
      <c r="M957" s="83" t="s">
        <v>60</v>
      </c>
      <c r="N957" s="85">
        <v>45978</v>
      </c>
      <c r="O957" s="86" t="s">
        <v>10</v>
      </c>
      <c r="P957" s="85" t="s">
        <v>9</v>
      </c>
      <c r="Q957" s="91"/>
      <c r="R957" s="87"/>
      <c r="S957" s="30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</row>
    <row r="958" spans="2:37" ht="16.2" x14ac:dyDescent="0.3">
      <c r="B958" s="80">
        <v>950</v>
      </c>
      <c r="C958" s="84" t="s">
        <v>200</v>
      </c>
      <c r="D958" s="82" t="s">
        <v>199</v>
      </c>
      <c r="E958" s="83">
        <v>8632</v>
      </c>
      <c r="F958" s="83" t="s">
        <v>16</v>
      </c>
      <c r="G958" s="83" t="s">
        <v>80</v>
      </c>
      <c r="H958" s="83" t="s">
        <v>14</v>
      </c>
      <c r="I958" s="83" t="s">
        <v>13</v>
      </c>
      <c r="J958" s="83">
        <v>40</v>
      </c>
      <c r="K958" s="83"/>
      <c r="L958" s="83" t="s">
        <v>12</v>
      </c>
      <c r="M958" s="83" t="s">
        <v>60</v>
      </c>
      <c r="N958" s="85">
        <v>45978</v>
      </c>
      <c r="O958" s="86" t="s">
        <v>10</v>
      </c>
      <c r="P958" s="85" t="s">
        <v>9</v>
      </c>
      <c r="Q958" s="91">
        <v>992112120</v>
      </c>
      <c r="R958" s="87"/>
      <c r="S958" s="30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</row>
    <row r="959" spans="2:37" ht="16.2" x14ac:dyDescent="0.3">
      <c r="B959" s="80">
        <v>951</v>
      </c>
      <c r="C959" s="84" t="s">
        <v>203</v>
      </c>
      <c r="D959" s="82" t="s">
        <v>202</v>
      </c>
      <c r="E959" s="83">
        <v>8633</v>
      </c>
      <c r="F959" s="84" t="s">
        <v>16</v>
      </c>
      <c r="G959" s="84" t="s">
        <v>201</v>
      </c>
      <c r="H959" s="83" t="s">
        <v>14</v>
      </c>
      <c r="I959" s="83" t="s">
        <v>13</v>
      </c>
      <c r="J959" s="84">
        <v>40</v>
      </c>
      <c r="K959" s="84"/>
      <c r="L959" s="84" t="s">
        <v>12</v>
      </c>
      <c r="M959" s="84" t="s">
        <v>60</v>
      </c>
      <c r="N959" s="85">
        <v>45978</v>
      </c>
      <c r="O959" s="86" t="s">
        <v>10</v>
      </c>
      <c r="P959" s="97" t="s">
        <v>9</v>
      </c>
      <c r="Q959" s="91">
        <v>992112120</v>
      </c>
      <c r="R959" s="91"/>
      <c r="S959" s="30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</row>
    <row r="960" spans="2:37" ht="16.2" x14ac:dyDescent="0.3">
      <c r="B960" s="80">
        <v>952</v>
      </c>
      <c r="C960" s="84" t="s">
        <v>1263</v>
      </c>
      <c r="D960" s="82" t="s">
        <v>1264</v>
      </c>
      <c r="E960" s="83">
        <v>8634</v>
      </c>
      <c r="F960" s="83" t="s">
        <v>28</v>
      </c>
      <c r="G960" s="83" t="s">
        <v>133</v>
      </c>
      <c r="H960" s="83" t="s">
        <v>14</v>
      </c>
      <c r="I960" s="83" t="s">
        <v>13</v>
      </c>
      <c r="J960" s="83">
        <v>35</v>
      </c>
      <c r="K960" s="83"/>
      <c r="L960" s="83" t="s">
        <v>26</v>
      </c>
      <c r="M960" s="83" t="s">
        <v>60</v>
      </c>
      <c r="N960" s="85">
        <v>45978</v>
      </c>
      <c r="O960" s="86" t="s">
        <v>25</v>
      </c>
      <c r="P960" s="85" t="s">
        <v>9</v>
      </c>
      <c r="Q960" s="91">
        <v>990620621</v>
      </c>
      <c r="R960" s="87"/>
      <c r="S960" s="30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</row>
    <row r="961" spans="2:37" ht="16.2" x14ac:dyDescent="0.3">
      <c r="B961" s="80">
        <v>953</v>
      </c>
      <c r="C961" s="84" t="s">
        <v>1265</v>
      </c>
      <c r="D961" s="82" t="s">
        <v>1266</v>
      </c>
      <c r="E961" s="83">
        <v>8635</v>
      </c>
      <c r="F961" s="83" t="s">
        <v>28</v>
      </c>
      <c r="G961" s="83" t="s">
        <v>201</v>
      </c>
      <c r="H961" s="83" t="s">
        <v>14</v>
      </c>
      <c r="I961" s="83" t="s">
        <v>13</v>
      </c>
      <c r="J961" s="83">
        <v>40</v>
      </c>
      <c r="K961" s="84"/>
      <c r="L961" s="83" t="s">
        <v>26</v>
      </c>
      <c r="M961" s="83" t="s">
        <v>60</v>
      </c>
      <c r="N961" s="85">
        <v>45978</v>
      </c>
      <c r="O961" s="86" t="s">
        <v>10</v>
      </c>
      <c r="P961" s="85" t="s">
        <v>1267</v>
      </c>
      <c r="Q961" s="91">
        <v>0</v>
      </c>
      <c r="R961" s="87"/>
      <c r="S961" s="30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</row>
    <row r="962" spans="2:37" ht="16.2" x14ac:dyDescent="0.3">
      <c r="B962" s="80">
        <v>954</v>
      </c>
      <c r="C962" s="84" t="s">
        <v>1268</v>
      </c>
      <c r="D962" s="82" t="s">
        <v>1269</v>
      </c>
      <c r="E962" s="83">
        <v>8636</v>
      </c>
      <c r="F962" s="83" t="s">
        <v>28</v>
      </c>
      <c r="G962" s="83" t="s">
        <v>46</v>
      </c>
      <c r="H962" s="83" t="s">
        <v>14</v>
      </c>
      <c r="I962" s="83" t="s">
        <v>13</v>
      </c>
      <c r="J962" s="83">
        <v>40</v>
      </c>
      <c r="K962" s="84"/>
      <c r="L962" s="83" t="s">
        <v>26</v>
      </c>
      <c r="M962" s="83" t="s">
        <v>60</v>
      </c>
      <c r="N962" s="85">
        <v>45978</v>
      </c>
      <c r="O962" s="86" t="s">
        <v>25</v>
      </c>
      <c r="P962" s="85" t="s">
        <v>0</v>
      </c>
      <c r="Q962" s="91" t="s">
        <v>1270</v>
      </c>
      <c r="R962" s="87"/>
      <c r="S962" s="30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</row>
    <row r="963" spans="2:37" ht="16.2" x14ac:dyDescent="0.3">
      <c r="B963" s="80">
        <v>955</v>
      </c>
      <c r="C963" s="84" t="s">
        <v>1219</v>
      </c>
      <c r="D963" s="82" t="s">
        <v>1220</v>
      </c>
      <c r="E963" s="83">
        <v>8638</v>
      </c>
      <c r="F963" s="84" t="s">
        <v>16</v>
      </c>
      <c r="G963" s="84" t="s">
        <v>375</v>
      </c>
      <c r="H963" s="84" t="s">
        <v>14</v>
      </c>
      <c r="I963" s="84" t="s">
        <v>1059</v>
      </c>
      <c r="J963" s="84">
        <v>3.26</v>
      </c>
      <c r="K963" s="84"/>
      <c r="L963" s="84" t="s">
        <v>12</v>
      </c>
      <c r="M963" s="84" t="s">
        <v>60</v>
      </c>
      <c r="N963" s="85">
        <v>45978</v>
      </c>
      <c r="O963" s="86" t="s">
        <v>10</v>
      </c>
      <c r="P963" s="97" t="s">
        <v>20</v>
      </c>
      <c r="Q963" s="91">
        <v>820861814</v>
      </c>
      <c r="R963" s="91"/>
      <c r="S963" s="30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</row>
    <row r="964" spans="2:37" ht="16.2" x14ac:dyDescent="0.3">
      <c r="B964" s="80">
        <v>956</v>
      </c>
      <c r="C964" s="81" t="s">
        <v>1271</v>
      </c>
      <c r="D964" s="82" t="s">
        <v>1272</v>
      </c>
      <c r="E964" s="83">
        <v>8637</v>
      </c>
      <c r="F964" s="84" t="s">
        <v>28</v>
      </c>
      <c r="G964" s="84" t="s">
        <v>50</v>
      </c>
      <c r="H964" s="84" t="s">
        <v>14</v>
      </c>
      <c r="I964" s="84" t="s">
        <v>13</v>
      </c>
      <c r="J964" s="84">
        <v>40</v>
      </c>
      <c r="K964" s="84"/>
      <c r="L964" s="84" t="s">
        <v>26</v>
      </c>
      <c r="M964" s="84" t="s">
        <v>60</v>
      </c>
      <c r="N964" s="85">
        <v>45978</v>
      </c>
      <c r="O964" s="86" t="s">
        <v>25</v>
      </c>
      <c r="P964" s="97" t="s">
        <v>9</v>
      </c>
      <c r="Q964" s="91">
        <v>992264026</v>
      </c>
      <c r="R964" s="91"/>
      <c r="S964" s="30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</row>
    <row r="965" spans="2:37" ht="16.2" x14ac:dyDescent="0.3">
      <c r="B965" s="80">
        <v>957</v>
      </c>
      <c r="C965" s="84" t="s">
        <v>1273</v>
      </c>
      <c r="D965" s="82" t="s">
        <v>1274</v>
      </c>
      <c r="E965" s="83">
        <v>8639</v>
      </c>
      <c r="F965" s="84" t="s">
        <v>28</v>
      </c>
      <c r="G965" s="83" t="s">
        <v>80</v>
      </c>
      <c r="H965" s="83" t="s">
        <v>14</v>
      </c>
      <c r="I965" s="83" t="s">
        <v>13</v>
      </c>
      <c r="J965" s="84">
        <v>40</v>
      </c>
      <c r="K965" s="84"/>
      <c r="L965" s="84" t="s">
        <v>12</v>
      </c>
      <c r="M965" s="84" t="s">
        <v>49</v>
      </c>
      <c r="N965" s="85">
        <v>45979</v>
      </c>
      <c r="O965" s="86" t="s">
        <v>10</v>
      </c>
      <c r="P965" s="97" t="s">
        <v>9</v>
      </c>
      <c r="Q965" s="91">
        <v>234812361835</v>
      </c>
      <c r="R965" s="91"/>
      <c r="S965" s="30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</row>
    <row r="966" spans="2:37" ht="16.2" x14ac:dyDescent="0.3">
      <c r="B966" s="80">
        <v>958</v>
      </c>
      <c r="C966" s="84" t="s">
        <v>1273</v>
      </c>
      <c r="D966" s="82" t="s">
        <v>1274</v>
      </c>
      <c r="E966" s="83">
        <v>8640</v>
      </c>
      <c r="F966" s="84" t="s">
        <v>28</v>
      </c>
      <c r="G966" s="83" t="s">
        <v>80</v>
      </c>
      <c r="H966" s="83" t="s">
        <v>14</v>
      </c>
      <c r="I966" s="83" t="s">
        <v>785</v>
      </c>
      <c r="J966" s="84">
        <v>20</v>
      </c>
      <c r="K966" s="84"/>
      <c r="L966" s="84" t="s">
        <v>12</v>
      </c>
      <c r="M966" s="84" t="s">
        <v>49</v>
      </c>
      <c r="N966" s="85">
        <v>45979</v>
      </c>
      <c r="O966" s="86" t="s">
        <v>10</v>
      </c>
      <c r="P966" s="97" t="s">
        <v>9</v>
      </c>
      <c r="Q966" s="91">
        <v>234812361835</v>
      </c>
      <c r="R966" s="91"/>
      <c r="S966" s="30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</row>
    <row r="967" spans="2:37" ht="16.2" x14ac:dyDescent="0.3">
      <c r="B967" s="80">
        <v>959</v>
      </c>
      <c r="C967" s="84" t="s">
        <v>545</v>
      </c>
      <c r="D967" s="82" t="s">
        <v>544</v>
      </c>
      <c r="E967" s="83">
        <v>8641</v>
      </c>
      <c r="F967" s="83" t="s">
        <v>28</v>
      </c>
      <c r="G967" s="83" t="s">
        <v>37</v>
      </c>
      <c r="H967" s="83" t="s">
        <v>14</v>
      </c>
      <c r="I967" s="83" t="s">
        <v>13</v>
      </c>
      <c r="J967" s="83">
        <v>50</v>
      </c>
      <c r="K967" s="84"/>
      <c r="L967" s="83" t="s">
        <v>12</v>
      </c>
      <c r="M967" s="83" t="s">
        <v>49</v>
      </c>
      <c r="N967" s="85">
        <v>45979</v>
      </c>
      <c r="O967" s="86" t="s">
        <v>10</v>
      </c>
      <c r="P967" s="85" t="s">
        <v>20</v>
      </c>
      <c r="Q967" s="91" t="s">
        <v>543</v>
      </c>
      <c r="R967" s="87"/>
      <c r="S967" s="30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</row>
    <row r="968" spans="2:37" ht="16.2" x14ac:dyDescent="0.3">
      <c r="B968" s="80">
        <v>960</v>
      </c>
      <c r="C968" s="84" t="s">
        <v>1117</v>
      </c>
      <c r="D968" s="82" t="s">
        <v>1118</v>
      </c>
      <c r="E968" s="83">
        <v>8642</v>
      </c>
      <c r="F968" s="83" t="s">
        <v>16</v>
      </c>
      <c r="G968" s="83" t="s">
        <v>1053</v>
      </c>
      <c r="H968" s="83" t="s">
        <v>14</v>
      </c>
      <c r="I968" s="83" t="s">
        <v>21</v>
      </c>
      <c r="J968" s="83">
        <v>45</v>
      </c>
      <c r="K968" s="83"/>
      <c r="L968" s="83" t="s">
        <v>12</v>
      </c>
      <c r="M968" s="83" t="s">
        <v>49</v>
      </c>
      <c r="N968" s="85">
        <v>45979</v>
      </c>
      <c r="O968" s="86" t="s">
        <v>10</v>
      </c>
      <c r="P968" s="85" t="s">
        <v>20</v>
      </c>
      <c r="Q968" s="91">
        <v>971253856</v>
      </c>
      <c r="R968" s="87"/>
      <c r="S968" s="30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</row>
    <row r="969" spans="2:37" ht="16.2" x14ac:dyDescent="0.3">
      <c r="B969" s="80">
        <v>961</v>
      </c>
      <c r="C969" s="84" t="s">
        <v>1275</v>
      </c>
      <c r="D969" s="82" t="s">
        <v>1276</v>
      </c>
      <c r="E969" s="83">
        <v>8645</v>
      </c>
      <c r="F969" s="83" t="s">
        <v>16</v>
      </c>
      <c r="G969" s="83" t="s">
        <v>150</v>
      </c>
      <c r="H969" s="83" t="s">
        <v>14</v>
      </c>
      <c r="I969" s="83" t="s">
        <v>13</v>
      </c>
      <c r="J969" s="83">
        <v>45</v>
      </c>
      <c r="K969" s="84"/>
      <c r="L969" s="83" t="s">
        <v>12</v>
      </c>
      <c r="M969" s="83" t="s">
        <v>11</v>
      </c>
      <c r="N969" s="85">
        <v>45980</v>
      </c>
      <c r="O969" s="86" t="s">
        <v>10</v>
      </c>
      <c r="P969" s="85" t="s">
        <v>20</v>
      </c>
      <c r="Q969" s="91">
        <v>997024635</v>
      </c>
      <c r="R969" s="87"/>
      <c r="S969" s="30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</row>
    <row r="970" spans="2:37" ht="16.2" x14ac:dyDescent="0.3">
      <c r="B970" s="80">
        <v>962</v>
      </c>
      <c r="C970" s="84" t="s">
        <v>178</v>
      </c>
      <c r="D970" s="82" t="s">
        <v>177</v>
      </c>
      <c r="E970" s="83">
        <v>8646</v>
      </c>
      <c r="F970" s="84" t="s">
        <v>16</v>
      </c>
      <c r="G970" s="83" t="s">
        <v>161</v>
      </c>
      <c r="H970" s="83" t="s">
        <v>14</v>
      </c>
      <c r="I970" s="83" t="s">
        <v>281</v>
      </c>
      <c r="J970" s="84">
        <v>80</v>
      </c>
      <c r="K970" s="84"/>
      <c r="L970" s="84" t="s">
        <v>12</v>
      </c>
      <c r="M970" s="84" t="s">
        <v>11</v>
      </c>
      <c r="N970" s="85">
        <v>45980</v>
      </c>
      <c r="O970" s="86" t="s">
        <v>25</v>
      </c>
      <c r="P970" s="97" t="s">
        <v>20</v>
      </c>
      <c r="Q970" s="91">
        <v>997024635</v>
      </c>
      <c r="R970" s="91"/>
      <c r="S970" s="30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</row>
    <row r="971" spans="2:37" ht="16.2" x14ac:dyDescent="0.3">
      <c r="B971" s="80">
        <v>963</v>
      </c>
      <c r="C971" s="84" t="s">
        <v>1277</v>
      </c>
      <c r="D971" s="82" t="s">
        <v>1278</v>
      </c>
      <c r="E971" s="83">
        <v>8647</v>
      </c>
      <c r="F971" s="84" t="s">
        <v>16</v>
      </c>
      <c r="G971" s="84" t="s">
        <v>15</v>
      </c>
      <c r="H971" s="83" t="s">
        <v>14</v>
      </c>
      <c r="I971" s="83" t="s">
        <v>13</v>
      </c>
      <c r="J971" s="84">
        <v>30</v>
      </c>
      <c r="K971" s="84"/>
      <c r="L971" s="84" t="s">
        <v>12</v>
      </c>
      <c r="M971" s="84" t="s">
        <v>11</v>
      </c>
      <c r="N971" s="85">
        <v>45980</v>
      </c>
      <c r="O971" s="86" t="s">
        <v>10</v>
      </c>
      <c r="P971" s="97" t="s">
        <v>9</v>
      </c>
      <c r="Q971" s="91"/>
      <c r="R971" s="91"/>
      <c r="S971" s="30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</row>
    <row r="972" spans="2:37" ht="16.2" x14ac:dyDescent="0.3">
      <c r="B972" s="80">
        <v>964</v>
      </c>
      <c r="C972" s="84" t="s">
        <v>1279</v>
      </c>
      <c r="D972" s="82" t="s">
        <v>1280</v>
      </c>
      <c r="E972" s="83">
        <v>8648</v>
      </c>
      <c r="F972" s="83" t="s">
        <v>28</v>
      </c>
      <c r="G972" s="83" t="s">
        <v>50</v>
      </c>
      <c r="H972" s="83" t="s">
        <v>14</v>
      </c>
      <c r="I972" s="83" t="s">
        <v>13</v>
      </c>
      <c r="J972" s="83">
        <v>30</v>
      </c>
      <c r="K972" s="84"/>
      <c r="L972" s="83" t="s">
        <v>12</v>
      </c>
      <c r="M972" s="83" t="s">
        <v>11</v>
      </c>
      <c r="N972" s="85">
        <v>45980</v>
      </c>
      <c r="O972" s="86" t="s">
        <v>10</v>
      </c>
      <c r="P972" s="85" t="s">
        <v>9</v>
      </c>
      <c r="Q972" s="91"/>
      <c r="R972" s="87"/>
      <c r="S972" s="30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</row>
    <row r="973" spans="2:37" ht="16.2" x14ac:dyDescent="0.3">
      <c r="B973" s="80">
        <v>965</v>
      </c>
      <c r="C973" s="84" t="s">
        <v>913</v>
      </c>
      <c r="D973" s="82" t="s">
        <v>914</v>
      </c>
      <c r="E973" s="83">
        <v>8650</v>
      </c>
      <c r="F973" s="83" t="s">
        <v>28</v>
      </c>
      <c r="G973" s="83" t="s">
        <v>301</v>
      </c>
      <c r="H973" s="83" t="s">
        <v>14</v>
      </c>
      <c r="I973" s="83" t="s">
        <v>281</v>
      </c>
      <c r="J973" s="83">
        <v>80</v>
      </c>
      <c r="K973" s="84"/>
      <c r="L973" s="83" t="s">
        <v>26</v>
      </c>
      <c r="M973" s="83" t="s">
        <v>11</v>
      </c>
      <c r="N973" s="85">
        <v>45980</v>
      </c>
      <c r="O973" s="86" t="s">
        <v>25</v>
      </c>
      <c r="P973" s="85" t="s">
        <v>20</v>
      </c>
      <c r="Q973" s="91">
        <v>976991348</v>
      </c>
      <c r="R973" s="87"/>
      <c r="S973" s="30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</row>
    <row r="974" spans="2:37" ht="16.2" x14ac:dyDescent="0.3">
      <c r="B974" s="80">
        <v>966</v>
      </c>
      <c r="C974" s="84" t="s">
        <v>59</v>
      </c>
      <c r="D974" s="82" t="s">
        <v>58</v>
      </c>
      <c r="E974" s="100">
        <v>8653</v>
      </c>
      <c r="F974" s="99" t="s">
        <v>28</v>
      </c>
      <c r="G974" s="83" t="s">
        <v>57</v>
      </c>
      <c r="H974" s="83" t="s">
        <v>14</v>
      </c>
      <c r="I974" s="84" t="s">
        <v>1059</v>
      </c>
      <c r="J974" s="84">
        <v>5</v>
      </c>
      <c r="K974" s="84"/>
      <c r="L974" s="83" t="s">
        <v>26</v>
      </c>
      <c r="M974" s="99" t="s">
        <v>11</v>
      </c>
      <c r="N974" s="85">
        <v>45980</v>
      </c>
      <c r="O974" s="86" t="s">
        <v>25</v>
      </c>
      <c r="P974" s="97" t="s">
        <v>20</v>
      </c>
      <c r="Q974" s="91"/>
      <c r="R974" s="91"/>
      <c r="S974" s="30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</row>
    <row r="975" spans="2:37" ht="16.2" x14ac:dyDescent="0.3">
      <c r="B975" s="80">
        <v>967</v>
      </c>
      <c r="C975" s="84" t="s">
        <v>906</v>
      </c>
      <c r="D975" s="82" t="s">
        <v>907</v>
      </c>
      <c r="E975" s="83">
        <v>8654</v>
      </c>
      <c r="F975" s="83" t="s">
        <v>28</v>
      </c>
      <c r="G975" s="84" t="s">
        <v>22</v>
      </c>
      <c r="H975" s="83" t="s">
        <v>14</v>
      </c>
      <c r="I975" s="83" t="s">
        <v>103</v>
      </c>
      <c r="J975" s="83">
        <v>25</v>
      </c>
      <c r="K975" s="83"/>
      <c r="L975" s="83" t="s">
        <v>12</v>
      </c>
      <c r="M975" s="83" t="s">
        <v>11</v>
      </c>
      <c r="N975" s="85">
        <v>45980</v>
      </c>
      <c r="O975" s="86" t="s">
        <v>10</v>
      </c>
      <c r="P975" s="97" t="s">
        <v>20</v>
      </c>
      <c r="Q975" s="91"/>
      <c r="R975" s="91"/>
      <c r="S975" s="30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</row>
    <row r="976" spans="2:37" ht="16.2" x14ac:dyDescent="0.3">
      <c r="B976" s="80">
        <v>968</v>
      </c>
      <c r="C976" s="84" t="s">
        <v>121</v>
      </c>
      <c r="D976" s="82" t="s">
        <v>120</v>
      </c>
      <c r="E976" s="83">
        <v>8656</v>
      </c>
      <c r="F976" s="83" t="s">
        <v>28</v>
      </c>
      <c r="G976" s="83" t="s">
        <v>100</v>
      </c>
      <c r="H976" s="83" t="s">
        <v>14</v>
      </c>
      <c r="I976" s="84" t="s">
        <v>103</v>
      </c>
      <c r="J976" s="83">
        <v>15</v>
      </c>
      <c r="K976" s="83"/>
      <c r="L976" s="83" t="s">
        <v>12</v>
      </c>
      <c r="M976" s="83" t="s">
        <v>11</v>
      </c>
      <c r="N976" s="85">
        <v>45980</v>
      </c>
      <c r="O976" s="86" t="s">
        <v>10</v>
      </c>
      <c r="P976" s="85" t="s">
        <v>20</v>
      </c>
      <c r="Q976" s="91">
        <v>974500668</v>
      </c>
      <c r="R976" s="87"/>
      <c r="S976" s="30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</row>
    <row r="977" spans="2:37" ht="16.2" x14ac:dyDescent="0.3">
      <c r="B977" s="80">
        <v>969</v>
      </c>
      <c r="C977" s="84" t="s">
        <v>1281</v>
      </c>
      <c r="D977" s="82" t="s">
        <v>1282</v>
      </c>
      <c r="E977" s="83">
        <v>8649</v>
      </c>
      <c r="F977" s="83" t="s">
        <v>16</v>
      </c>
      <c r="G977" s="83" t="s">
        <v>174</v>
      </c>
      <c r="H977" s="83" t="s">
        <v>14</v>
      </c>
      <c r="I977" s="84" t="s">
        <v>281</v>
      </c>
      <c r="J977" s="83">
        <v>10</v>
      </c>
      <c r="K977" s="83"/>
      <c r="L977" s="83" t="s">
        <v>26</v>
      </c>
      <c r="M977" s="83" t="s">
        <v>11</v>
      </c>
      <c r="N977" s="85">
        <v>45980</v>
      </c>
      <c r="O977" s="86" t="s">
        <v>25</v>
      </c>
      <c r="P977" s="85" t="s">
        <v>20</v>
      </c>
      <c r="Q977" s="91">
        <v>840080386</v>
      </c>
      <c r="R977" s="87"/>
      <c r="S977" s="30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</row>
    <row r="978" spans="2:37" ht="16.2" x14ac:dyDescent="0.3">
      <c r="B978" s="80">
        <v>970</v>
      </c>
      <c r="C978" s="84" t="s">
        <v>102</v>
      </c>
      <c r="D978" s="82" t="s">
        <v>101</v>
      </c>
      <c r="E978" s="83">
        <v>8655</v>
      </c>
      <c r="F978" s="83" t="s">
        <v>28</v>
      </c>
      <c r="G978" s="83" t="s">
        <v>100</v>
      </c>
      <c r="H978" s="83" t="s">
        <v>14</v>
      </c>
      <c r="I978" s="84" t="s">
        <v>281</v>
      </c>
      <c r="J978" s="83">
        <v>40</v>
      </c>
      <c r="K978" s="83"/>
      <c r="L978" s="83" t="s">
        <v>12</v>
      </c>
      <c r="M978" s="83" t="s">
        <v>11</v>
      </c>
      <c r="N978" s="85">
        <v>45980</v>
      </c>
      <c r="O978" s="86" t="s">
        <v>10</v>
      </c>
      <c r="P978" s="85" t="s">
        <v>20</v>
      </c>
      <c r="Q978" s="91">
        <v>990333375</v>
      </c>
      <c r="R978" s="87"/>
      <c r="S978" s="30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</row>
    <row r="979" spans="2:37" ht="16.2" x14ac:dyDescent="0.3">
      <c r="B979" s="80">
        <v>971</v>
      </c>
      <c r="C979" s="84" t="s">
        <v>938</v>
      </c>
      <c r="D979" s="82" t="s">
        <v>939</v>
      </c>
      <c r="E979" s="83">
        <v>8661</v>
      </c>
      <c r="F979" s="83" t="s">
        <v>16</v>
      </c>
      <c r="G979" s="83" t="s">
        <v>201</v>
      </c>
      <c r="H979" s="83" t="s">
        <v>14</v>
      </c>
      <c r="I979" s="84" t="s">
        <v>21</v>
      </c>
      <c r="J979" s="83">
        <v>40</v>
      </c>
      <c r="K979" s="83"/>
      <c r="L979" s="83" t="s">
        <v>12</v>
      </c>
      <c r="M979" s="83" t="s">
        <v>112</v>
      </c>
      <c r="N979" s="85">
        <v>45981</v>
      </c>
      <c r="O979" s="86" t="s">
        <v>10</v>
      </c>
      <c r="P979" s="85" t="s">
        <v>9</v>
      </c>
      <c r="Q979" s="91" t="s">
        <v>940</v>
      </c>
      <c r="R979" s="87"/>
      <c r="S979" s="30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</row>
    <row r="980" spans="2:37" ht="16.2" x14ac:dyDescent="0.3">
      <c r="B980" s="80">
        <v>972</v>
      </c>
      <c r="C980" s="84" t="s">
        <v>327</v>
      </c>
      <c r="D980" s="82" t="s">
        <v>326</v>
      </c>
      <c r="E980" s="83">
        <v>8662</v>
      </c>
      <c r="F980" s="83" t="s">
        <v>16</v>
      </c>
      <c r="G980" s="83" t="s">
        <v>83</v>
      </c>
      <c r="H980" s="83" t="s">
        <v>14</v>
      </c>
      <c r="I980" s="83" t="s">
        <v>21</v>
      </c>
      <c r="J980" s="83">
        <v>40</v>
      </c>
      <c r="K980" s="84"/>
      <c r="L980" s="83" t="s">
        <v>26</v>
      </c>
      <c r="M980" s="83" t="s">
        <v>112</v>
      </c>
      <c r="N980" s="85">
        <v>45981</v>
      </c>
      <c r="O980" s="86" t="s">
        <v>10</v>
      </c>
      <c r="P980" s="85" t="s">
        <v>9</v>
      </c>
      <c r="Q980" s="91">
        <v>995622440</v>
      </c>
      <c r="R980" s="87"/>
      <c r="S980" s="30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</row>
    <row r="981" spans="2:37" ht="16.2" x14ac:dyDescent="0.3">
      <c r="B981" s="80">
        <v>973</v>
      </c>
      <c r="C981" s="84" t="s">
        <v>1127</v>
      </c>
      <c r="D981" s="82" t="s">
        <v>1128</v>
      </c>
      <c r="E981" s="83">
        <v>8663</v>
      </c>
      <c r="F981" s="83" t="s">
        <v>16</v>
      </c>
      <c r="G981" s="83" t="s">
        <v>50</v>
      </c>
      <c r="H981" s="83" t="s">
        <v>14</v>
      </c>
      <c r="I981" s="83" t="s">
        <v>21</v>
      </c>
      <c r="J981" s="83">
        <v>40</v>
      </c>
      <c r="K981" s="84"/>
      <c r="L981" s="83" t="s">
        <v>26</v>
      </c>
      <c r="M981" s="83" t="s">
        <v>112</v>
      </c>
      <c r="N981" s="85">
        <v>45981</v>
      </c>
      <c r="O981" s="86" t="s">
        <v>10</v>
      </c>
      <c r="P981" s="85" t="s">
        <v>9</v>
      </c>
      <c r="Q981" s="91" t="s">
        <v>1129</v>
      </c>
      <c r="R981" s="87"/>
      <c r="S981" s="30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</row>
    <row r="982" spans="2:37" ht="16.2" x14ac:dyDescent="0.3">
      <c r="B982" s="80">
        <v>974</v>
      </c>
      <c r="C982" s="84" t="s">
        <v>330</v>
      </c>
      <c r="D982" s="82" t="s">
        <v>329</v>
      </c>
      <c r="E982" s="83">
        <v>8664</v>
      </c>
      <c r="F982" s="83" t="s">
        <v>16</v>
      </c>
      <c r="G982" s="83" t="s">
        <v>37</v>
      </c>
      <c r="H982" s="83" t="s">
        <v>14</v>
      </c>
      <c r="I982" s="83" t="s">
        <v>103</v>
      </c>
      <c r="J982" s="83">
        <v>10</v>
      </c>
      <c r="K982" s="84"/>
      <c r="L982" s="83" t="s">
        <v>26</v>
      </c>
      <c r="M982" s="83" t="s">
        <v>112</v>
      </c>
      <c r="N982" s="85">
        <v>45981</v>
      </c>
      <c r="O982" s="86" t="s">
        <v>10</v>
      </c>
      <c r="P982" s="85" t="s">
        <v>20</v>
      </c>
      <c r="Q982" s="91" t="s">
        <v>328</v>
      </c>
      <c r="R982" s="87"/>
      <c r="S982" s="30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</row>
    <row r="983" spans="2:37" ht="16.2" x14ac:dyDescent="0.3">
      <c r="B983" s="80">
        <v>975</v>
      </c>
      <c r="C983" s="84" t="s">
        <v>330</v>
      </c>
      <c r="D983" s="82" t="s">
        <v>329</v>
      </c>
      <c r="E983" s="83">
        <v>8665</v>
      </c>
      <c r="F983" s="83" t="s">
        <v>16</v>
      </c>
      <c r="G983" s="83" t="s">
        <v>37</v>
      </c>
      <c r="H983" s="83" t="s">
        <v>14</v>
      </c>
      <c r="I983" s="83" t="s">
        <v>281</v>
      </c>
      <c r="J983" s="83">
        <v>10</v>
      </c>
      <c r="K983" s="84"/>
      <c r="L983" s="83" t="s">
        <v>26</v>
      </c>
      <c r="M983" s="83" t="s">
        <v>112</v>
      </c>
      <c r="N983" s="85">
        <v>45981</v>
      </c>
      <c r="O983" s="86" t="s">
        <v>10</v>
      </c>
      <c r="P983" s="85" t="s">
        <v>20</v>
      </c>
      <c r="Q983" s="91" t="s">
        <v>328</v>
      </c>
      <c r="R983" s="87"/>
      <c r="S983" s="30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</row>
    <row r="984" spans="2:37" ht="16.2" x14ac:dyDescent="0.3">
      <c r="B984" s="80">
        <v>976</v>
      </c>
      <c r="C984" s="84" t="s">
        <v>251</v>
      </c>
      <c r="D984" s="82" t="s">
        <v>250</v>
      </c>
      <c r="E984" s="83">
        <v>8666</v>
      </c>
      <c r="F984" s="83" t="s">
        <v>16</v>
      </c>
      <c r="G984" s="83" t="s">
        <v>22</v>
      </c>
      <c r="H984" s="83" t="s">
        <v>14</v>
      </c>
      <c r="I984" s="83" t="s">
        <v>103</v>
      </c>
      <c r="J984" s="83">
        <v>16.95</v>
      </c>
      <c r="K984" s="84"/>
      <c r="L984" s="83" t="s">
        <v>26</v>
      </c>
      <c r="M984" s="83" t="s">
        <v>112</v>
      </c>
      <c r="N984" s="85">
        <v>45981</v>
      </c>
      <c r="O984" s="86" t="s">
        <v>10</v>
      </c>
      <c r="P984" s="85" t="s">
        <v>20</v>
      </c>
      <c r="Q984" s="91">
        <v>835708749</v>
      </c>
      <c r="R984" s="87"/>
      <c r="S984" s="30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</row>
    <row r="985" spans="2:37" ht="16.2" x14ac:dyDescent="0.3">
      <c r="B985" s="80">
        <v>977</v>
      </c>
      <c r="C985" s="84" t="s">
        <v>251</v>
      </c>
      <c r="D985" s="82" t="s">
        <v>250</v>
      </c>
      <c r="E985" s="83">
        <v>8667</v>
      </c>
      <c r="F985" s="83" t="s">
        <v>16</v>
      </c>
      <c r="G985" s="83" t="s">
        <v>22</v>
      </c>
      <c r="H985" s="83" t="s">
        <v>14</v>
      </c>
      <c r="I985" s="83" t="s">
        <v>281</v>
      </c>
      <c r="J985" s="83">
        <v>35.21</v>
      </c>
      <c r="K985" s="84"/>
      <c r="L985" s="83" t="s">
        <v>26</v>
      </c>
      <c r="M985" s="83" t="s">
        <v>112</v>
      </c>
      <c r="N985" s="85">
        <v>45981</v>
      </c>
      <c r="O985" s="86" t="s">
        <v>10</v>
      </c>
      <c r="P985" s="85" t="s">
        <v>20</v>
      </c>
      <c r="Q985" s="91">
        <v>835708749</v>
      </c>
      <c r="R985" s="87"/>
      <c r="S985" s="30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</row>
    <row r="986" spans="2:37" ht="16.2" x14ac:dyDescent="0.3">
      <c r="B986" s="80">
        <v>978</v>
      </c>
      <c r="C986" s="84" t="s">
        <v>99</v>
      </c>
      <c r="D986" s="82" t="s">
        <v>98</v>
      </c>
      <c r="E986" s="83">
        <v>8670</v>
      </c>
      <c r="F986" s="83" t="s">
        <v>16</v>
      </c>
      <c r="G986" s="83" t="s">
        <v>97</v>
      </c>
      <c r="H986" s="83" t="s">
        <v>14</v>
      </c>
      <c r="I986" s="83" t="s">
        <v>281</v>
      </c>
      <c r="J986" s="83">
        <v>15</v>
      </c>
      <c r="K986" s="84"/>
      <c r="L986" s="83" t="s">
        <v>12</v>
      </c>
      <c r="M986" s="83" t="s">
        <v>112</v>
      </c>
      <c r="N986" s="85">
        <v>45981</v>
      </c>
      <c r="O986" s="86" t="s">
        <v>25</v>
      </c>
      <c r="P986" s="85" t="s">
        <v>20</v>
      </c>
      <c r="Q986" s="91" t="s">
        <v>96</v>
      </c>
      <c r="R986" s="87"/>
      <c r="S986" s="30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</row>
    <row r="987" spans="2:37" ht="16.2" x14ac:dyDescent="0.3">
      <c r="B987" s="80">
        <v>979</v>
      </c>
      <c r="C987" s="84" t="s">
        <v>917</v>
      </c>
      <c r="D987" s="82" t="s">
        <v>918</v>
      </c>
      <c r="E987" s="83">
        <v>8671</v>
      </c>
      <c r="F987" s="83" t="s">
        <v>16</v>
      </c>
      <c r="G987" s="83" t="s">
        <v>37</v>
      </c>
      <c r="H987" s="83" t="s">
        <v>14</v>
      </c>
      <c r="I987" s="83" t="s">
        <v>13</v>
      </c>
      <c r="J987" s="83">
        <v>40</v>
      </c>
      <c r="K987" s="84"/>
      <c r="L987" s="83" t="s">
        <v>12</v>
      </c>
      <c r="M987" s="83" t="s">
        <v>112</v>
      </c>
      <c r="N987" s="85">
        <v>45981</v>
      </c>
      <c r="O987" s="86" t="s">
        <v>10</v>
      </c>
      <c r="P987" s="85" t="s">
        <v>20</v>
      </c>
      <c r="Q987" s="91" t="s">
        <v>919</v>
      </c>
      <c r="R987" s="87"/>
      <c r="S987" s="30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</row>
    <row r="988" spans="2:37" ht="16.5" customHeight="1" x14ac:dyDescent="0.3">
      <c r="B988" s="80">
        <v>980</v>
      </c>
      <c r="C988" s="84" t="s">
        <v>920</v>
      </c>
      <c r="D988" s="82" t="s">
        <v>921</v>
      </c>
      <c r="E988" s="83">
        <v>8672</v>
      </c>
      <c r="F988" s="83" t="s">
        <v>16</v>
      </c>
      <c r="G988" s="83" t="s">
        <v>150</v>
      </c>
      <c r="H988" s="83" t="s">
        <v>14</v>
      </c>
      <c r="I988" s="83" t="s">
        <v>103</v>
      </c>
      <c r="J988" s="83">
        <v>15</v>
      </c>
      <c r="K988" s="84"/>
      <c r="L988" s="83" t="s">
        <v>12</v>
      </c>
      <c r="M988" s="83" t="s">
        <v>112</v>
      </c>
      <c r="N988" s="85">
        <v>45981</v>
      </c>
      <c r="O988" s="86" t="s">
        <v>10</v>
      </c>
      <c r="P988" s="85" t="s">
        <v>20</v>
      </c>
      <c r="Q988" s="91">
        <v>858849875</v>
      </c>
      <c r="R988" s="87"/>
      <c r="S988" s="30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</row>
    <row r="989" spans="2:37" ht="16.2" x14ac:dyDescent="0.3">
      <c r="B989" s="80">
        <v>981</v>
      </c>
      <c r="C989" s="84" t="s">
        <v>920</v>
      </c>
      <c r="D989" s="82" t="s">
        <v>921</v>
      </c>
      <c r="E989" s="83">
        <v>8673</v>
      </c>
      <c r="F989" s="83" t="s">
        <v>16</v>
      </c>
      <c r="G989" s="83" t="s">
        <v>150</v>
      </c>
      <c r="H989" s="83" t="s">
        <v>14</v>
      </c>
      <c r="I989" s="83" t="s">
        <v>281</v>
      </c>
      <c r="J989" s="83">
        <v>25</v>
      </c>
      <c r="K989" s="84"/>
      <c r="L989" s="83" t="s">
        <v>12</v>
      </c>
      <c r="M989" s="83" t="s">
        <v>112</v>
      </c>
      <c r="N989" s="85">
        <v>45981</v>
      </c>
      <c r="O989" s="86" t="s">
        <v>10</v>
      </c>
      <c r="P989" s="85" t="s">
        <v>20</v>
      </c>
      <c r="Q989" s="91">
        <v>858849875</v>
      </c>
      <c r="R989" s="87"/>
      <c r="S989" s="30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</row>
    <row r="990" spans="2:37" ht="15" customHeight="1" x14ac:dyDescent="0.3">
      <c r="B990" s="80">
        <v>982</v>
      </c>
      <c r="C990" s="84" t="s">
        <v>984</v>
      </c>
      <c r="D990" s="82" t="s">
        <v>985</v>
      </c>
      <c r="E990" s="83">
        <v>8675</v>
      </c>
      <c r="F990" s="83" t="s">
        <v>28</v>
      </c>
      <c r="G990" s="83" t="s">
        <v>106</v>
      </c>
      <c r="H990" s="83" t="s">
        <v>14</v>
      </c>
      <c r="I990" s="83" t="s">
        <v>281</v>
      </c>
      <c r="J990" s="83" t="s">
        <v>1286</v>
      </c>
      <c r="K990" s="84"/>
      <c r="L990" s="83" t="s">
        <v>12</v>
      </c>
      <c r="M990" s="83" t="s">
        <v>112</v>
      </c>
      <c r="N990" s="85">
        <v>45981</v>
      </c>
      <c r="O990" s="86" t="s">
        <v>25</v>
      </c>
      <c r="P990" s="85" t="s">
        <v>20</v>
      </c>
      <c r="Q990" s="91">
        <v>974024842</v>
      </c>
      <c r="R990" s="87"/>
      <c r="S990" s="30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</row>
    <row r="991" spans="2:37" ht="16.2" x14ac:dyDescent="0.3">
      <c r="B991" s="80">
        <v>983</v>
      </c>
      <c r="C991" s="84" t="s">
        <v>1283</v>
      </c>
      <c r="D991" s="82" t="s">
        <v>1284</v>
      </c>
      <c r="E991" s="83">
        <v>8674</v>
      </c>
      <c r="F991" s="84" t="s">
        <v>16</v>
      </c>
      <c r="G991" s="83" t="s">
        <v>273</v>
      </c>
      <c r="H991" s="83" t="s">
        <v>14</v>
      </c>
      <c r="I991" s="83" t="s">
        <v>56</v>
      </c>
      <c r="J991" s="84">
        <v>20</v>
      </c>
      <c r="K991" s="84"/>
      <c r="L991" s="84" t="s">
        <v>12</v>
      </c>
      <c r="M991" s="84" t="s">
        <v>112</v>
      </c>
      <c r="N991" s="85">
        <v>45981</v>
      </c>
      <c r="O991" s="86" t="s">
        <v>10</v>
      </c>
      <c r="P991" s="97" t="s">
        <v>20</v>
      </c>
      <c r="Q991" s="91">
        <v>997018676</v>
      </c>
      <c r="R991" s="91"/>
      <c r="S991" s="30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</row>
    <row r="992" spans="2:37" ht="16.2" x14ac:dyDescent="0.3">
      <c r="B992" s="80">
        <v>984</v>
      </c>
      <c r="C992" s="84" t="s">
        <v>139</v>
      </c>
      <c r="D992" s="82" t="s">
        <v>138</v>
      </c>
      <c r="E992" s="83">
        <v>8676</v>
      </c>
      <c r="F992" s="84" t="s">
        <v>28</v>
      </c>
      <c r="G992" s="83" t="s">
        <v>57</v>
      </c>
      <c r="H992" s="83" t="s">
        <v>14</v>
      </c>
      <c r="I992" s="83" t="s">
        <v>21</v>
      </c>
      <c r="J992" s="84">
        <v>40</v>
      </c>
      <c r="K992" s="84"/>
      <c r="L992" s="84" t="s">
        <v>12</v>
      </c>
      <c r="M992" s="84" t="s">
        <v>112</v>
      </c>
      <c r="N992" s="85">
        <v>45981</v>
      </c>
      <c r="O992" s="86" t="s">
        <v>25</v>
      </c>
      <c r="P992" s="97" t="s">
        <v>20</v>
      </c>
      <c r="Q992" s="91">
        <v>970522307</v>
      </c>
      <c r="R992" s="91"/>
      <c r="S992" s="30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</row>
    <row r="993" spans="2:37" ht="16.2" x14ac:dyDescent="0.3">
      <c r="B993" s="80">
        <v>985</v>
      </c>
      <c r="C993" s="81" t="s">
        <v>139</v>
      </c>
      <c r="D993" s="82" t="s">
        <v>138</v>
      </c>
      <c r="E993" s="83">
        <v>8677</v>
      </c>
      <c r="F993" s="84" t="s">
        <v>28</v>
      </c>
      <c r="G993" s="84" t="s">
        <v>57</v>
      </c>
      <c r="H993" s="83" t="s">
        <v>14</v>
      </c>
      <c r="I993" s="83" t="s">
        <v>1285</v>
      </c>
      <c r="J993" s="84">
        <v>30</v>
      </c>
      <c r="K993" s="84"/>
      <c r="L993" s="84" t="s">
        <v>12</v>
      </c>
      <c r="M993" s="84" t="s">
        <v>112</v>
      </c>
      <c r="N993" s="85">
        <v>45981</v>
      </c>
      <c r="O993" s="86" t="s">
        <v>25</v>
      </c>
      <c r="P993" s="97" t="s">
        <v>20</v>
      </c>
      <c r="Q993" s="91">
        <v>970522307</v>
      </c>
      <c r="R993" s="91"/>
      <c r="S993" s="30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</row>
    <row r="994" spans="2:37" ht="16.2" x14ac:dyDescent="0.3">
      <c r="B994" s="80">
        <v>986</v>
      </c>
      <c r="C994" s="84" t="s">
        <v>1289</v>
      </c>
      <c r="D994" s="82" t="s">
        <v>1290</v>
      </c>
      <c r="E994" s="83">
        <v>8679</v>
      </c>
      <c r="F994" s="84" t="s">
        <v>28</v>
      </c>
      <c r="G994" s="83" t="s">
        <v>50</v>
      </c>
      <c r="H994" s="83" t="s">
        <v>14</v>
      </c>
      <c r="I994" s="83" t="s">
        <v>13</v>
      </c>
      <c r="J994" s="84">
        <v>40</v>
      </c>
      <c r="K994" s="84"/>
      <c r="L994" s="84" t="s">
        <v>12</v>
      </c>
      <c r="M994" s="84" t="s">
        <v>88</v>
      </c>
      <c r="N994" s="85">
        <v>45982</v>
      </c>
      <c r="O994" s="86" t="s">
        <v>10</v>
      </c>
      <c r="P994" s="97" t="s">
        <v>9</v>
      </c>
      <c r="Q994" s="91">
        <v>997707774</v>
      </c>
      <c r="R994" s="91"/>
      <c r="S994" s="75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</row>
    <row r="995" spans="2:37" ht="16.2" x14ac:dyDescent="0.3">
      <c r="B995" s="80">
        <v>987</v>
      </c>
      <c r="C995" s="84" t="s">
        <v>749</v>
      </c>
      <c r="D995" s="82" t="s">
        <v>748</v>
      </c>
      <c r="E995" s="83">
        <v>8681</v>
      </c>
      <c r="F995" s="84" t="s">
        <v>16</v>
      </c>
      <c r="G995" s="84" t="s">
        <v>31</v>
      </c>
      <c r="H995" s="83" t="s">
        <v>14</v>
      </c>
      <c r="I995" s="83" t="s">
        <v>281</v>
      </c>
      <c r="J995" s="84">
        <v>10.86</v>
      </c>
      <c r="K995" s="84"/>
      <c r="L995" s="84" t="s">
        <v>12</v>
      </c>
      <c r="M995" s="84" t="s">
        <v>88</v>
      </c>
      <c r="N995" s="85">
        <v>45982</v>
      </c>
      <c r="O995" s="86" t="s">
        <v>25</v>
      </c>
      <c r="P995" s="97" t="s">
        <v>20</v>
      </c>
      <c r="Q995" s="91">
        <v>999820231</v>
      </c>
      <c r="R995" s="91"/>
      <c r="S995" s="75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</row>
    <row r="996" spans="2:37" ht="16.2" x14ac:dyDescent="0.3">
      <c r="B996" s="80">
        <v>988</v>
      </c>
      <c r="C996" s="84" t="s">
        <v>315</v>
      </c>
      <c r="D996" s="82" t="s">
        <v>314</v>
      </c>
      <c r="E996" s="83">
        <v>8682</v>
      </c>
      <c r="F996" s="83" t="s">
        <v>16</v>
      </c>
      <c r="G996" s="83" t="s">
        <v>83</v>
      </c>
      <c r="H996" s="83" t="s">
        <v>14</v>
      </c>
      <c r="I996" s="83" t="s">
        <v>13</v>
      </c>
      <c r="J996" s="83">
        <v>40</v>
      </c>
      <c r="K996" s="84"/>
      <c r="L996" s="83" t="s">
        <v>12</v>
      </c>
      <c r="M996" s="83" t="s">
        <v>88</v>
      </c>
      <c r="N996" s="85">
        <v>45982</v>
      </c>
      <c r="O996" s="86" t="s">
        <v>10</v>
      </c>
      <c r="P996" s="85" t="s">
        <v>9</v>
      </c>
      <c r="Q996" s="91">
        <v>970457727</v>
      </c>
      <c r="R996" s="87"/>
      <c r="S996" s="75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</row>
    <row r="997" spans="2:37" ht="16.2" x14ac:dyDescent="0.3">
      <c r="B997" s="80">
        <v>989</v>
      </c>
      <c r="C997" s="84" t="s">
        <v>315</v>
      </c>
      <c r="D997" s="82" t="s">
        <v>314</v>
      </c>
      <c r="E997" s="83">
        <v>8683</v>
      </c>
      <c r="F997" s="83" t="s">
        <v>16</v>
      </c>
      <c r="G997" s="83" t="s">
        <v>83</v>
      </c>
      <c r="H997" s="83" t="s">
        <v>14</v>
      </c>
      <c r="I997" s="83" t="s">
        <v>21</v>
      </c>
      <c r="J997" s="83">
        <v>40</v>
      </c>
      <c r="K997" s="84"/>
      <c r="L997" s="83" t="s">
        <v>12</v>
      </c>
      <c r="M997" s="83" t="s">
        <v>88</v>
      </c>
      <c r="N997" s="85">
        <v>45982</v>
      </c>
      <c r="O997" s="86" t="s">
        <v>10</v>
      </c>
      <c r="P997" s="85" t="s">
        <v>9</v>
      </c>
      <c r="Q997" s="91">
        <v>970457727</v>
      </c>
      <c r="R997" s="87"/>
      <c r="S997" s="75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</row>
    <row r="998" spans="2:37" ht="16.2" x14ac:dyDescent="0.3">
      <c r="B998" s="80">
        <v>990</v>
      </c>
      <c r="C998" s="84" t="s">
        <v>768</v>
      </c>
      <c r="D998" s="82" t="s">
        <v>764</v>
      </c>
      <c r="E998" s="100">
        <v>8684</v>
      </c>
      <c r="F998" s="99" t="s">
        <v>28</v>
      </c>
      <c r="G998" s="83" t="s">
        <v>201</v>
      </c>
      <c r="H998" s="83" t="s">
        <v>14</v>
      </c>
      <c r="I998" s="84" t="s">
        <v>13</v>
      </c>
      <c r="J998" s="84">
        <v>40</v>
      </c>
      <c r="K998" s="84"/>
      <c r="L998" s="83" t="s">
        <v>12</v>
      </c>
      <c r="M998" s="99" t="s">
        <v>88</v>
      </c>
      <c r="N998" s="85">
        <v>45982</v>
      </c>
      <c r="O998" s="86" t="s">
        <v>10</v>
      </c>
      <c r="P998" s="97" t="s">
        <v>9</v>
      </c>
      <c r="Q998" s="91"/>
      <c r="R998" s="91"/>
      <c r="S998" s="75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</row>
    <row r="999" spans="2:37" ht="16.2" x14ac:dyDescent="0.3">
      <c r="B999" s="80">
        <v>991</v>
      </c>
      <c r="C999" s="84" t="s">
        <v>931</v>
      </c>
      <c r="D999" s="82" t="s">
        <v>932</v>
      </c>
      <c r="E999" s="83">
        <v>8685</v>
      </c>
      <c r="F999" s="83" t="s">
        <v>28</v>
      </c>
      <c r="G999" s="84" t="s">
        <v>46</v>
      </c>
      <c r="H999" s="83" t="s">
        <v>14</v>
      </c>
      <c r="I999" s="83" t="s">
        <v>93</v>
      </c>
      <c r="J999" s="83">
        <v>40</v>
      </c>
      <c r="K999" s="83"/>
      <c r="L999" s="83" t="s">
        <v>12</v>
      </c>
      <c r="M999" s="83" t="s">
        <v>88</v>
      </c>
      <c r="N999" s="85">
        <v>45982</v>
      </c>
      <c r="O999" s="86" t="s">
        <v>10</v>
      </c>
      <c r="P999" s="97" t="s">
        <v>0</v>
      </c>
      <c r="Q999" s="91" t="s">
        <v>933</v>
      </c>
      <c r="R999" s="91"/>
      <c r="S999" s="75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</row>
    <row r="1000" spans="2:37" ht="16.2" x14ac:dyDescent="0.3">
      <c r="B1000" s="80">
        <v>992</v>
      </c>
      <c r="C1000" s="84" t="s">
        <v>1291</v>
      </c>
      <c r="D1000" s="82" t="s">
        <v>1292</v>
      </c>
      <c r="E1000" s="83">
        <v>8686</v>
      </c>
      <c r="F1000" s="83" t="s">
        <v>16</v>
      </c>
      <c r="G1000" s="83" t="s">
        <v>174</v>
      </c>
      <c r="H1000" s="83" t="s">
        <v>14</v>
      </c>
      <c r="I1000" s="84" t="s">
        <v>13</v>
      </c>
      <c r="J1000" s="83">
        <v>100</v>
      </c>
      <c r="K1000" s="83"/>
      <c r="L1000" s="83" t="s">
        <v>26</v>
      </c>
      <c r="M1000" s="83" t="s">
        <v>216</v>
      </c>
      <c r="N1000" s="85">
        <v>45983</v>
      </c>
      <c r="O1000" s="86" t="s">
        <v>25</v>
      </c>
      <c r="P1000" s="85" t="s">
        <v>20</v>
      </c>
      <c r="Q1000" s="91">
        <v>853453648</v>
      </c>
      <c r="R1000" s="87"/>
      <c r="S1000" s="75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</row>
    <row r="1001" spans="2:37" ht="16.2" x14ac:dyDescent="0.3">
      <c r="B1001" s="80">
        <v>993</v>
      </c>
      <c r="C1001" s="84" t="s">
        <v>894</v>
      </c>
      <c r="D1001" s="82" t="s">
        <v>1139</v>
      </c>
      <c r="E1001" s="83">
        <v>8687</v>
      </c>
      <c r="F1001" s="83" t="s">
        <v>28</v>
      </c>
      <c r="G1001" s="83" t="s">
        <v>1140</v>
      </c>
      <c r="H1001" s="83" t="s">
        <v>14</v>
      </c>
      <c r="I1001" s="84" t="s">
        <v>13</v>
      </c>
      <c r="J1001" s="83">
        <v>55</v>
      </c>
      <c r="K1001" s="83"/>
      <c r="L1001" s="83" t="s">
        <v>26</v>
      </c>
      <c r="M1001" s="83" t="s">
        <v>60</v>
      </c>
      <c r="N1001" s="85">
        <v>45985</v>
      </c>
      <c r="O1001" s="86" t="s">
        <v>10</v>
      </c>
      <c r="P1001" s="85" t="s">
        <v>20</v>
      </c>
      <c r="Q1001" s="91">
        <v>992247155</v>
      </c>
      <c r="R1001" s="87"/>
      <c r="S1001" s="75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</row>
    <row r="1002" spans="2:37" ht="16.2" x14ac:dyDescent="0.3">
      <c r="B1002" s="80">
        <v>994</v>
      </c>
      <c r="C1002" s="84" t="s">
        <v>621</v>
      </c>
      <c r="D1002" s="82" t="s">
        <v>620</v>
      </c>
      <c r="E1002" s="83">
        <v>8688</v>
      </c>
      <c r="F1002" s="83" t="s">
        <v>16</v>
      </c>
      <c r="G1002" s="83" t="s">
        <v>46</v>
      </c>
      <c r="H1002" s="83" t="s">
        <v>14</v>
      </c>
      <c r="I1002" s="84" t="s">
        <v>21</v>
      </c>
      <c r="J1002" s="83">
        <v>40</v>
      </c>
      <c r="K1002" s="83"/>
      <c r="L1002" s="83" t="s">
        <v>26</v>
      </c>
      <c r="M1002" s="83" t="s">
        <v>60</v>
      </c>
      <c r="N1002" s="85">
        <v>45985</v>
      </c>
      <c r="O1002" s="86" t="s">
        <v>10</v>
      </c>
      <c r="P1002" s="85" t="s">
        <v>0</v>
      </c>
      <c r="Q1002" s="91">
        <v>898815317</v>
      </c>
      <c r="R1002" s="87"/>
      <c r="S1002" s="75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</row>
    <row r="1003" spans="2:37" ht="16.2" x14ac:dyDescent="0.3">
      <c r="B1003" s="80">
        <v>995</v>
      </c>
      <c r="C1003" s="84" t="s">
        <v>152</v>
      </c>
      <c r="D1003" s="82" t="s">
        <v>151</v>
      </c>
      <c r="E1003" s="83">
        <v>8689</v>
      </c>
      <c r="F1003" s="83" t="s">
        <v>16</v>
      </c>
      <c r="G1003" s="83" t="s">
        <v>150</v>
      </c>
      <c r="H1003" s="83" t="s">
        <v>14</v>
      </c>
      <c r="I1003" s="84" t="s">
        <v>13</v>
      </c>
      <c r="J1003" s="83">
        <v>45</v>
      </c>
      <c r="K1003" s="83"/>
      <c r="L1003" s="83" t="s">
        <v>12</v>
      </c>
      <c r="M1003" s="83" t="s">
        <v>60</v>
      </c>
      <c r="N1003" s="85">
        <v>45985</v>
      </c>
      <c r="O1003" s="86" t="s">
        <v>10</v>
      </c>
      <c r="P1003" s="85" t="s">
        <v>20</v>
      </c>
      <c r="Q1003" s="91" t="s">
        <v>149</v>
      </c>
      <c r="R1003" s="87" t="s">
        <v>1293</v>
      </c>
      <c r="S1003" s="75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</row>
    <row r="1004" spans="2:37" ht="16.2" x14ac:dyDescent="0.3">
      <c r="B1004" s="80">
        <v>996</v>
      </c>
      <c r="C1004" s="84" t="s">
        <v>323</v>
      </c>
      <c r="D1004" s="82" t="s">
        <v>1294</v>
      </c>
      <c r="E1004" s="83">
        <v>8690</v>
      </c>
      <c r="F1004" s="83" t="s">
        <v>28</v>
      </c>
      <c r="G1004" s="83" t="s">
        <v>83</v>
      </c>
      <c r="H1004" s="83" t="s">
        <v>14</v>
      </c>
      <c r="I1004" s="83" t="s">
        <v>13</v>
      </c>
      <c r="J1004" s="83">
        <v>40</v>
      </c>
      <c r="K1004" s="84"/>
      <c r="L1004" s="83" t="s">
        <v>12</v>
      </c>
      <c r="M1004" s="83" t="s">
        <v>60</v>
      </c>
      <c r="N1004" s="85">
        <v>45985</v>
      </c>
      <c r="O1004" s="86" t="s">
        <v>10</v>
      </c>
      <c r="P1004" s="85" t="s">
        <v>9</v>
      </c>
      <c r="Q1004" s="91">
        <v>971520050</v>
      </c>
      <c r="R1004" s="87"/>
      <c r="S1004" s="75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29"/>
      <c r="AK1004" s="29"/>
    </row>
    <row r="1005" spans="2:37" ht="16.2" x14ac:dyDescent="0.3">
      <c r="B1005" s="80">
        <v>997</v>
      </c>
      <c r="C1005" s="84" t="s">
        <v>1026</v>
      </c>
      <c r="D1005" s="82" t="s">
        <v>1027</v>
      </c>
      <c r="E1005" s="83">
        <v>8692</v>
      </c>
      <c r="F1005" s="83" t="s">
        <v>28</v>
      </c>
      <c r="G1005" s="83" t="s">
        <v>201</v>
      </c>
      <c r="H1005" s="83" t="s">
        <v>14</v>
      </c>
      <c r="I1005" s="83" t="s">
        <v>1059</v>
      </c>
      <c r="J1005" s="83">
        <v>5</v>
      </c>
      <c r="K1005" s="84"/>
      <c r="L1005" s="83" t="s">
        <v>12</v>
      </c>
      <c r="M1005" s="83" t="s">
        <v>60</v>
      </c>
      <c r="N1005" s="85">
        <v>45985</v>
      </c>
      <c r="O1005" s="86" t="s">
        <v>10</v>
      </c>
      <c r="P1005" s="85" t="s">
        <v>9</v>
      </c>
      <c r="Q1005" s="91" t="s">
        <v>1028</v>
      </c>
      <c r="R1005" s="87"/>
      <c r="S1005" s="75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  <c r="AJ1005" s="29"/>
      <c r="AK1005" s="29"/>
    </row>
    <row r="1006" spans="2:37" ht="16.2" x14ac:dyDescent="0.3">
      <c r="B1006" s="80">
        <v>998</v>
      </c>
      <c r="C1006" s="84" t="s">
        <v>1029</v>
      </c>
      <c r="D1006" s="82" t="s">
        <v>1030</v>
      </c>
      <c r="E1006" s="83">
        <v>8691</v>
      </c>
      <c r="F1006" s="83" t="s">
        <v>16</v>
      </c>
      <c r="G1006" s="83" t="s">
        <v>40</v>
      </c>
      <c r="H1006" s="83" t="s">
        <v>14</v>
      </c>
      <c r="I1006" s="83" t="s">
        <v>13</v>
      </c>
      <c r="J1006" s="83">
        <v>35</v>
      </c>
      <c r="K1006" s="84"/>
      <c r="L1006" s="83" t="s">
        <v>26</v>
      </c>
      <c r="M1006" s="83" t="s">
        <v>60</v>
      </c>
      <c r="N1006" s="85">
        <v>45985</v>
      </c>
      <c r="O1006" s="86" t="s">
        <v>10</v>
      </c>
      <c r="P1006" s="85" t="s">
        <v>0</v>
      </c>
      <c r="Q1006" s="91">
        <v>892108145</v>
      </c>
      <c r="R1006" s="87"/>
      <c r="S1006" s="75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29"/>
    </row>
    <row r="1007" spans="2:37" ht="16.2" x14ac:dyDescent="0.3">
      <c r="B1007" s="80">
        <v>999</v>
      </c>
      <c r="C1007" s="84" t="s">
        <v>1026</v>
      </c>
      <c r="D1007" s="82" t="s">
        <v>1027</v>
      </c>
      <c r="E1007" s="83">
        <v>8693</v>
      </c>
      <c r="F1007" s="83" t="s">
        <v>28</v>
      </c>
      <c r="G1007" s="83" t="s">
        <v>201</v>
      </c>
      <c r="H1007" s="83" t="s">
        <v>14</v>
      </c>
      <c r="I1007" s="83" t="s">
        <v>785</v>
      </c>
      <c r="J1007" s="83">
        <v>10</v>
      </c>
      <c r="K1007" s="84"/>
      <c r="L1007" s="83" t="s">
        <v>12</v>
      </c>
      <c r="M1007" s="83" t="s">
        <v>60</v>
      </c>
      <c r="N1007" s="85">
        <v>45985</v>
      </c>
      <c r="O1007" s="86" t="s">
        <v>10</v>
      </c>
      <c r="P1007" s="85" t="s">
        <v>9</v>
      </c>
      <c r="Q1007" s="91" t="s">
        <v>1028</v>
      </c>
      <c r="R1007" s="87"/>
      <c r="S1007" s="75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29"/>
    </row>
    <row r="1008" spans="2:37" ht="16.2" x14ac:dyDescent="0.3">
      <c r="B1008" s="80">
        <v>1000</v>
      </c>
      <c r="C1008" s="84" t="s">
        <v>570</v>
      </c>
      <c r="D1008" s="82" t="s">
        <v>569</v>
      </c>
      <c r="E1008" s="83">
        <v>8694</v>
      </c>
      <c r="F1008" s="83" t="s">
        <v>28</v>
      </c>
      <c r="G1008" s="83" t="s">
        <v>31</v>
      </c>
      <c r="H1008" s="83" t="s">
        <v>14</v>
      </c>
      <c r="I1008" s="83" t="s">
        <v>1059</v>
      </c>
      <c r="J1008" s="83">
        <v>15</v>
      </c>
      <c r="K1008" s="84"/>
      <c r="L1008" s="83" t="s">
        <v>12</v>
      </c>
      <c r="M1008" s="83" t="s">
        <v>60</v>
      </c>
      <c r="N1008" s="85">
        <v>45985</v>
      </c>
      <c r="O1008" s="86" t="s">
        <v>10</v>
      </c>
      <c r="P1008" s="85" t="s">
        <v>20</v>
      </c>
      <c r="Q1008" s="91">
        <v>996858671</v>
      </c>
      <c r="R1008" s="87"/>
      <c r="S1008" s="75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</row>
    <row r="1009" spans="2:37" ht="16.2" x14ac:dyDescent="0.3">
      <c r="B1009" s="80">
        <v>1001</v>
      </c>
      <c r="C1009" s="84" t="s">
        <v>570</v>
      </c>
      <c r="D1009" s="82" t="s">
        <v>569</v>
      </c>
      <c r="E1009" s="83">
        <v>8695</v>
      </c>
      <c r="F1009" s="83" t="s">
        <v>28</v>
      </c>
      <c r="G1009" s="83" t="s">
        <v>31</v>
      </c>
      <c r="H1009" s="83" t="s">
        <v>14</v>
      </c>
      <c r="I1009" s="83" t="s">
        <v>93</v>
      </c>
      <c r="J1009" s="83">
        <v>45</v>
      </c>
      <c r="K1009" s="84"/>
      <c r="L1009" s="83" t="s">
        <v>12</v>
      </c>
      <c r="M1009" s="83" t="s">
        <v>60</v>
      </c>
      <c r="N1009" s="85">
        <v>45985</v>
      </c>
      <c r="O1009" s="86" t="s">
        <v>10</v>
      </c>
      <c r="P1009" s="85" t="s">
        <v>20</v>
      </c>
      <c r="Q1009" s="91">
        <v>996858671</v>
      </c>
      <c r="R1009" s="87"/>
      <c r="S1009" s="75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29"/>
    </row>
    <row r="1010" spans="2:37" ht="16.2" x14ac:dyDescent="0.3">
      <c r="B1010" s="80">
        <v>1002</v>
      </c>
      <c r="C1010" s="84" t="s">
        <v>570</v>
      </c>
      <c r="D1010" s="82" t="s">
        <v>569</v>
      </c>
      <c r="E1010" s="83">
        <v>8696</v>
      </c>
      <c r="F1010" s="83" t="s">
        <v>28</v>
      </c>
      <c r="G1010" s="83" t="s">
        <v>31</v>
      </c>
      <c r="H1010" s="83" t="s">
        <v>14</v>
      </c>
      <c r="I1010" s="83" t="s">
        <v>21</v>
      </c>
      <c r="J1010" s="83">
        <v>45</v>
      </c>
      <c r="K1010" s="84"/>
      <c r="L1010" s="83" t="s">
        <v>12</v>
      </c>
      <c r="M1010" s="83" t="s">
        <v>60</v>
      </c>
      <c r="N1010" s="85">
        <v>45985</v>
      </c>
      <c r="O1010" s="86" t="s">
        <v>10</v>
      </c>
      <c r="P1010" s="85" t="s">
        <v>20</v>
      </c>
      <c r="Q1010" s="91">
        <v>996858671</v>
      </c>
      <c r="R1010" s="87"/>
      <c r="S1010" s="75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29"/>
    </row>
    <row r="1011" spans="2:37" ht="16.2" x14ac:dyDescent="0.3">
      <c r="B1011" s="80">
        <v>1003</v>
      </c>
      <c r="C1011" s="84" t="s">
        <v>163</v>
      </c>
      <c r="D1011" s="82" t="s">
        <v>162</v>
      </c>
      <c r="E1011" s="83">
        <v>8697</v>
      </c>
      <c r="F1011" s="83" t="s">
        <v>28</v>
      </c>
      <c r="G1011" s="83" t="s">
        <v>161</v>
      </c>
      <c r="H1011" s="83" t="s">
        <v>14</v>
      </c>
      <c r="I1011" s="83" t="s">
        <v>281</v>
      </c>
      <c r="J1011" s="83">
        <v>80</v>
      </c>
      <c r="K1011" s="84"/>
      <c r="L1011" s="83" t="s">
        <v>26</v>
      </c>
      <c r="M1011" s="83" t="s">
        <v>60</v>
      </c>
      <c r="N1011" s="85">
        <v>45985</v>
      </c>
      <c r="O1011" s="86" t="s">
        <v>25</v>
      </c>
      <c r="P1011" s="85" t="s">
        <v>20</v>
      </c>
      <c r="Q1011" s="91">
        <v>810007325</v>
      </c>
      <c r="R1011" s="87"/>
      <c r="S1011" s="75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</row>
    <row r="1012" spans="2:37" ht="16.2" x14ac:dyDescent="0.3">
      <c r="B1012" s="80">
        <v>1004</v>
      </c>
      <c r="C1012" s="84" t="s">
        <v>145</v>
      </c>
      <c r="D1012" s="82" t="s">
        <v>144</v>
      </c>
      <c r="E1012" s="83">
        <v>8698</v>
      </c>
      <c r="F1012" s="83" t="s">
        <v>28</v>
      </c>
      <c r="G1012" s="83" t="s">
        <v>37</v>
      </c>
      <c r="H1012" s="83" t="s">
        <v>14</v>
      </c>
      <c r="I1012" s="83" t="s">
        <v>13</v>
      </c>
      <c r="J1012" s="83">
        <v>45</v>
      </c>
      <c r="K1012" s="84"/>
      <c r="L1012" s="83" t="s">
        <v>12</v>
      </c>
      <c r="M1012" s="83" t="s">
        <v>60</v>
      </c>
      <c r="N1012" s="85">
        <v>45985</v>
      </c>
      <c r="O1012" s="86" t="s">
        <v>10</v>
      </c>
      <c r="P1012" s="85" t="s">
        <v>20</v>
      </c>
      <c r="Q1012" s="91" t="s">
        <v>143</v>
      </c>
      <c r="R1012" s="87"/>
      <c r="S1012" s="75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  <c r="AI1012" s="29"/>
      <c r="AJ1012" s="29"/>
      <c r="AK1012" s="29"/>
    </row>
    <row r="1013" spans="2:37" ht="16.2" x14ac:dyDescent="0.3">
      <c r="B1013" s="80">
        <v>1005</v>
      </c>
      <c r="C1013" s="84" t="s">
        <v>1295</v>
      </c>
      <c r="D1013" s="82" t="s">
        <v>1296</v>
      </c>
      <c r="E1013" s="83">
        <v>8700</v>
      </c>
      <c r="F1013" s="83" t="s">
        <v>28</v>
      </c>
      <c r="G1013" s="83" t="s">
        <v>124</v>
      </c>
      <c r="H1013" s="83" t="s">
        <v>14</v>
      </c>
      <c r="I1013" s="83" t="s">
        <v>13</v>
      </c>
      <c r="J1013" s="83">
        <v>55</v>
      </c>
      <c r="K1013" s="84"/>
      <c r="L1013" s="83" t="s">
        <v>12</v>
      </c>
      <c r="M1013" s="83" t="s">
        <v>60</v>
      </c>
      <c r="N1013" s="85">
        <v>45985</v>
      </c>
      <c r="O1013" s="86" t="s">
        <v>10</v>
      </c>
      <c r="P1013" s="85" t="s">
        <v>20</v>
      </c>
      <c r="Q1013" s="91" t="s">
        <v>1297</v>
      </c>
      <c r="R1013" s="87"/>
      <c r="S1013" s="75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  <c r="AJ1013" s="29"/>
      <c r="AK1013" s="29"/>
    </row>
    <row r="1014" spans="2:37" ht="16.2" x14ac:dyDescent="0.3">
      <c r="B1014" s="80">
        <v>1006</v>
      </c>
      <c r="C1014" s="84" t="s">
        <v>1295</v>
      </c>
      <c r="D1014" s="82" t="s">
        <v>1296</v>
      </c>
      <c r="E1014" s="83">
        <v>8701</v>
      </c>
      <c r="F1014" s="83" t="s">
        <v>28</v>
      </c>
      <c r="G1014" s="83" t="s">
        <v>124</v>
      </c>
      <c r="H1014" s="83" t="s">
        <v>14</v>
      </c>
      <c r="I1014" s="83" t="s">
        <v>785</v>
      </c>
      <c r="J1014" s="83">
        <v>45</v>
      </c>
      <c r="K1014" s="84"/>
      <c r="L1014" s="83" t="s">
        <v>12</v>
      </c>
      <c r="M1014" s="83" t="s">
        <v>60</v>
      </c>
      <c r="N1014" s="85">
        <v>45985</v>
      </c>
      <c r="O1014" s="86" t="s">
        <v>10</v>
      </c>
      <c r="P1014" s="85" t="s">
        <v>20</v>
      </c>
      <c r="Q1014" s="91" t="s">
        <v>1297</v>
      </c>
      <c r="R1014" s="87"/>
      <c r="S1014" s="75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</row>
    <row r="1015" spans="2:37" ht="16.2" x14ac:dyDescent="0.3">
      <c r="B1015" s="80">
        <v>1007</v>
      </c>
      <c r="C1015" s="84" t="s">
        <v>129</v>
      </c>
      <c r="D1015" s="82" t="s">
        <v>128</v>
      </c>
      <c r="E1015" s="83">
        <v>8702</v>
      </c>
      <c r="F1015" s="84" t="s">
        <v>28</v>
      </c>
      <c r="G1015" s="83" t="s">
        <v>127</v>
      </c>
      <c r="H1015" s="83" t="s">
        <v>14</v>
      </c>
      <c r="I1015" s="83" t="s">
        <v>13</v>
      </c>
      <c r="J1015" s="84">
        <v>55</v>
      </c>
      <c r="K1015" s="84"/>
      <c r="L1015" s="84" t="s">
        <v>26</v>
      </c>
      <c r="M1015" s="84" t="s">
        <v>60</v>
      </c>
      <c r="N1015" s="85">
        <v>45985</v>
      </c>
      <c r="O1015" s="86" t="s">
        <v>10</v>
      </c>
      <c r="P1015" s="97" t="s">
        <v>20</v>
      </c>
      <c r="Q1015" s="91">
        <v>838354809</v>
      </c>
      <c r="R1015" s="91"/>
      <c r="S1015" s="75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  <c r="AI1015" s="29"/>
      <c r="AJ1015" s="29"/>
      <c r="AK1015" s="29"/>
    </row>
    <row r="1016" spans="2:37" ht="16.2" x14ac:dyDescent="0.3">
      <c r="B1016" s="80">
        <v>1008</v>
      </c>
      <c r="C1016" s="84" t="s">
        <v>892</v>
      </c>
      <c r="D1016" s="82" t="s">
        <v>893</v>
      </c>
      <c r="E1016" s="83">
        <v>8703</v>
      </c>
      <c r="F1016" s="84" t="s">
        <v>28</v>
      </c>
      <c r="G1016" s="83" t="s">
        <v>167</v>
      </c>
      <c r="H1016" s="83" t="s">
        <v>14</v>
      </c>
      <c r="I1016" s="83" t="s">
        <v>21</v>
      </c>
      <c r="J1016" s="84">
        <v>100</v>
      </c>
      <c r="K1016" s="84"/>
      <c r="L1016" s="84" t="s">
        <v>12</v>
      </c>
      <c r="M1016" s="84" t="s">
        <v>60</v>
      </c>
      <c r="N1016" s="85">
        <v>45985</v>
      </c>
      <c r="O1016" s="86" t="s">
        <v>25</v>
      </c>
      <c r="P1016" s="97" t="s">
        <v>20</v>
      </c>
      <c r="Q1016" s="91">
        <v>991008472</v>
      </c>
      <c r="R1016" s="91"/>
      <c r="S1016" s="75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  <c r="AI1016" s="29"/>
      <c r="AJ1016" s="29"/>
      <c r="AK1016" s="29"/>
    </row>
    <row r="1017" spans="2:37" ht="16.2" x14ac:dyDescent="0.3">
      <c r="B1017" s="80">
        <v>1009</v>
      </c>
      <c r="C1017" s="84" t="s">
        <v>890</v>
      </c>
      <c r="D1017" s="82" t="s">
        <v>891</v>
      </c>
      <c r="E1017" s="83">
        <v>8704</v>
      </c>
      <c r="F1017" s="84" t="s">
        <v>28</v>
      </c>
      <c r="G1017" s="84" t="s">
        <v>100</v>
      </c>
      <c r="H1017" s="83" t="s">
        <v>14</v>
      </c>
      <c r="I1017" s="83" t="s">
        <v>21</v>
      </c>
      <c r="J1017" s="84">
        <v>55</v>
      </c>
      <c r="K1017" s="84"/>
      <c r="L1017" s="84" t="s">
        <v>12</v>
      </c>
      <c r="M1017" s="84" t="s">
        <v>60</v>
      </c>
      <c r="N1017" s="85">
        <v>45985</v>
      </c>
      <c r="O1017" s="86" t="s">
        <v>10</v>
      </c>
      <c r="P1017" s="97" t="s">
        <v>20</v>
      </c>
      <c r="Q1017" s="91">
        <v>991008472</v>
      </c>
      <c r="R1017" s="91"/>
      <c r="S1017" s="75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</row>
    <row r="1018" spans="2:37" ht="16.2" x14ac:dyDescent="0.3">
      <c r="B1018" s="80">
        <v>1010</v>
      </c>
      <c r="C1018" s="84" t="s">
        <v>1087</v>
      </c>
      <c r="D1018" s="82" t="s">
        <v>1088</v>
      </c>
      <c r="E1018" s="83">
        <v>8705</v>
      </c>
      <c r="F1018" s="83" t="s">
        <v>28</v>
      </c>
      <c r="G1018" s="83" t="s">
        <v>37</v>
      </c>
      <c r="H1018" s="83" t="s">
        <v>14</v>
      </c>
      <c r="I1018" s="83" t="s">
        <v>21</v>
      </c>
      <c r="J1018" s="83">
        <v>45</v>
      </c>
      <c r="K1018" s="84"/>
      <c r="L1018" s="83" t="s">
        <v>12</v>
      </c>
      <c r="M1018" s="83" t="s">
        <v>60</v>
      </c>
      <c r="N1018" s="85">
        <v>45985</v>
      </c>
      <c r="O1018" s="86" t="s">
        <v>10</v>
      </c>
      <c r="P1018" s="97" t="s">
        <v>20</v>
      </c>
      <c r="Q1018" s="91"/>
      <c r="R1018" s="91"/>
      <c r="S1018" s="75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29"/>
      <c r="AH1018" s="29"/>
      <c r="AI1018" s="29"/>
      <c r="AJ1018" s="29"/>
      <c r="AK1018" s="29"/>
    </row>
    <row r="1019" spans="2:37" ht="16.2" x14ac:dyDescent="0.3">
      <c r="B1019" s="80">
        <v>1011</v>
      </c>
      <c r="C1019" s="84" t="s">
        <v>947</v>
      </c>
      <c r="D1019" s="82" t="s">
        <v>948</v>
      </c>
      <c r="E1019" s="83">
        <v>8707</v>
      </c>
      <c r="F1019" s="83" t="s">
        <v>28</v>
      </c>
      <c r="G1019" s="83" t="s">
        <v>133</v>
      </c>
      <c r="H1019" s="83" t="s">
        <v>14</v>
      </c>
      <c r="I1019" s="83" t="s">
        <v>21</v>
      </c>
      <c r="J1019" s="83">
        <v>50</v>
      </c>
      <c r="K1019" s="84"/>
      <c r="L1019" s="83" t="s">
        <v>12</v>
      </c>
      <c r="M1019" s="83" t="s">
        <v>60</v>
      </c>
      <c r="N1019" s="85">
        <v>45985</v>
      </c>
      <c r="O1019" s="86" t="s">
        <v>25</v>
      </c>
      <c r="P1019" s="85" t="s">
        <v>9</v>
      </c>
      <c r="Q1019" s="91" t="s">
        <v>949</v>
      </c>
      <c r="R1019" s="87"/>
      <c r="S1019" s="75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29"/>
      <c r="AH1019" s="29"/>
      <c r="AI1019" s="29"/>
      <c r="AJ1019" s="29"/>
      <c r="AK1019" s="29"/>
    </row>
    <row r="1020" spans="2:37" ht="16.2" x14ac:dyDescent="0.3">
      <c r="B1020" s="80">
        <v>1012</v>
      </c>
      <c r="C1020" s="84" t="s">
        <v>950</v>
      </c>
      <c r="D1020" s="82" t="s">
        <v>951</v>
      </c>
      <c r="E1020" s="83">
        <v>8708</v>
      </c>
      <c r="F1020" s="83" t="s">
        <v>16</v>
      </c>
      <c r="G1020" s="83" t="s">
        <v>80</v>
      </c>
      <c r="H1020" s="83" t="s">
        <v>14</v>
      </c>
      <c r="I1020" s="83" t="s">
        <v>21</v>
      </c>
      <c r="J1020" s="83">
        <v>50</v>
      </c>
      <c r="K1020" s="84"/>
      <c r="L1020" s="83" t="s">
        <v>12</v>
      </c>
      <c r="M1020" s="83" t="s">
        <v>60</v>
      </c>
      <c r="N1020" s="85">
        <v>45985</v>
      </c>
      <c r="O1020" s="86" t="s">
        <v>10</v>
      </c>
      <c r="P1020" s="85" t="s">
        <v>9</v>
      </c>
      <c r="Q1020" s="91">
        <v>243852284541</v>
      </c>
      <c r="R1020" s="87" t="s">
        <v>952</v>
      </c>
      <c r="S1020" s="75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  <c r="AI1020" s="29"/>
      <c r="AJ1020" s="29"/>
      <c r="AK1020" s="29"/>
    </row>
    <row r="1021" spans="2:37" ht="16.2" x14ac:dyDescent="0.3">
      <c r="B1021" s="80">
        <v>1013</v>
      </c>
      <c r="C1021" s="84" t="s">
        <v>945</v>
      </c>
      <c r="D1021" s="82" t="s">
        <v>946</v>
      </c>
      <c r="E1021" s="83">
        <v>8709</v>
      </c>
      <c r="F1021" s="83" t="s">
        <v>28</v>
      </c>
      <c r="G1021" s="83" t="s">
        <v>201</v>
      </c>
      <c r="H1021" s="83" t="s">
        <v>14</v>
      </c>
      <c r="I1021" s="83" t="s">
        <v>21</v>
      </c>
      <c r="J1021" s="83">
        <v>50</v>
      </c>
      <c r="K1021" s="84"/>
      <c r="L1021" s="83" t="s">
        <v>26</v>
      </c>
      <c r="M1021" s="83" t="s">
        <v>60</v>
      </c>
      <c r="N1021" s="85">
        <v>45985</v>
      </c>
      <c r="O1021" s="86" t="s">
        <v>10</v>
      </c>
      <c r="P1021" s="97" t="s">
        <v>9</v>
      </c>
      <c r="Q1021" s="91">
        <v>243852284541</v>
      </c>
      <c r="R1021" s="91"/>
      <c r="S1021" s="75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29"/>
      <c r="AH1021" s="29"/>
      <c r="AI1021" s="29"/>
      <c r="AJ1021" s="29"/>
      <c r="AK1021" s="29"/>
    </row>
    <row r="1022" spans="2:37" ht="16.2" x14ac:dyDescent="0.3">
      <c r="B1022" s="80">
        <v>1014</v>
      </c>
      <c r="C1022" s="84" t="s">
        <v>1298</v>
      </c>
      <c r="D1022" s="82" t="s">
        <v>1299</v>
      </c>
      <c r="E1022" s="83">
        <v>8710</v>
      </c>
      <c r="F1022" s="83" t="s">
        <v>28</v>
      </c>
      <c r="G1022" s="83" t="s">
        <v>40</v>
      </c>
      <c r="H1022" s="83" t="s">
        <v>14</v>
      </c>
      <c r="I1022" s="83" t="s">
        <v>19</v>
      </c>
      <c r="J1022" s="83">
        <v>40</v>
      </c>
      <c r="K1022" s="84"/>
      <c r="L1022" s="83" t="s">
        <v>26</v>
      </c>
      <c r="M1022" s="83" t="s">
        <v>49</v>
      </c>
      <c r="N1022" s="85">
        <v>45986</v>
      </c>
      <c r="O1022" s="86" t="s">
        <v>10</v>
      </c>
      <c r="P1022" s="85" t="s">
        <v>0</v>
      </c>
      <c r="Q1022" s="91"/>
      <c r="R1022" s="87"/>
      <c r="S1022" s="75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  <c r="AJ1022" s="29"/>
      <c r="AK1022" s="29"/>
    </row>
    <row r="1023" spans="2:37" ht="16.2" x14ac:dyDescent="0.3">
      <c r="B1023" s="80">
        <v>1015</v>
      </c>
      <c r="C1023" s="84" t="s">
        <v>1298</v>
      </c>
      <c r="D1023" s="82" t="s">
        <v>1299</v>
      </c>
      <c r="E1023" s="83">
        <v>8711</v>
      </c>
      <c r="F1023" s="83" t="s">
        <v>28</v>
      </c>
      <c r="G1023" s="83" t="s">
        <v>40</v>
      </c>
      <c r="H1023" s="83" t="s">
        <v>14</v>
      </c>
      <c r="I1023" s="83" t="s">
        <v>13</v>
      </c>
      <c r="J1023" s="83">
        <v>40</v>
      </c>
      <c r="K1023" s="84"/>
      <c r="L1023" s="83" t="s">
        <v>26</v>
      </c>
      <c r="M1023" s="83" t="s">
        <v>49</v>
      </c>
      <c r="N1023" s="85">
        <v>45986</v>
      </c>
      <c r="O1023" s="86" t="s">
        <v>10</v>
      </c>
      <c r="P1023" s="85" t="s">
        <v>0</v>
      </c>
      <c r="Q1023" s="91"/>
      <c r="R1023" s="87"/>
      <c r="S1023" s="75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</row>
    <row r="1024" spans="2:37" ht="16.2" x14ac:dyDescent="0.3">
      <c r="B1024" s="80">
        <v>1016</v>
      </c>
      <c r="C1024" s="84" t="s">
        <v>1298</v>
      </c>
      <c r="D1024" s="82" t="s">
        <v>1299</v>
      </c>
      <c r="E1024" s="83">
        <v>8712</v>
      </c>
      <c r="F1024" s="83" t="s">
        <v>28</v>
      </c>
      <c r="G1024" s="83" t="s">
        <v>40</v>
      </c>
      <c r="H1024" s="83" t="s">
        <v>14</v>
      </c>
      <c r="I1024" s="83" t="s">
        <v>21</v>
      </c>
      <c r="J1024" s="83">
        <v>40</v>
      </c>
      <c r="K1024" s="84"/>
      <c r="L1024" s="83" t="s">
        <v>26</v>
      </c>
      <c r="M1024" s="83" t="s">
        <v>49</v>
      </c>
      <c r="N1024" s="85">
        <v>45986</v>
      </c>
      <c r="O1024" s="86" t="s">
        <v>10</v>
      </c>
      <c r="P1024" s="85" t="s">
        <v>0</v>
      </c>
      <c r="Q1024" s="91"/>
      <c r="R1024" s="87"/>
      <c r="S1024" s="75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29"/>
      <c r="AH1024" s="29"/>
      <c r="AI1024" s="29"/>
      <c r="AJ1024" s="29"/>
      <c r="AK1024" s="29"/>
    </row>
    <row r="1025" spans="2:37" ht="16.2" x14ac:dyDescent="0.3">
      <c r="B1025" s="80">
        <v>1017</v>
      </c>
      <c r="C1025" s="84" t="s">
        <v>1300</v>
      </c>
      <c r="D1025" s="82" t="s">
        <v>1301</v>
      </c>
      <c r="E1025" s="83">
        <v>8713</v>
      </c>
      <c r="F1025" s="83" t="s">
        <v>16</v>
      </c>
      <c r="G1025" s="84" t="s">
        <v>77</v>
      </c>
      <c r="H1025" s="83" t="s">
        <v>14</v>
      </c>
      <c r="I1025" s="83" t="s">
        <v>19</v>
      </c>
      <c r="J1025" s="83">
        <v>40</v>
      </c>
      <c r="K1025" s="84"/>
      <c r="L1025" s="83" t="s">
        <v>12</v>
      </c>
      <c r="M1025" s="83" t="s">
        <v>49</v>
      </c>
      <c r="N1025" s="85">
        <v>45986</v>
      </c>
      <c r="O1025" s="86" t="s">
        <v>10</v>
      </c>
      <c r="P1025" s="85" t="s">
        <v>0</v>
      </c>
      <c r="Q1025" s="91">
        <v>972064900</v>
      </c>
      <c r="R1025" s="87"/>
      <c r="S1025" s="75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/>
      <c r="AI1025" s="29"/>
      <c r="AJ1025" s="29"/>
      <c r="AK1025" s="29"/>
    </row>
    <row r="1026" spans="2:37" ht="16.2" x14ac:dyDescent="0.3">
      <c r="B1026" s="80">
        <v>1018</v>
      </c>
      <c r="C1026" s="84" t="s">
        <v>1300</v>
      </c>
      <c r="D1026" s="82" t="s">
        <v>1301</v>
      </c>
      <c r="E1026" s="83">
        <v>8714</v>
      </c>
      <c r="F1026" s="83" t="s">
        <v>16</v>
      </c>
      <c r="G1026" s="84" t="s">
        <v>77</v>
      </c>
      <c r="H1026" s="83" t="s">
        <v>14</v>
      </c>
      <c r="I1026" s="83" t="s">
        <v>13</v>
      </c>
      <c r="J1026" s="83">
        <v>40</v>
      </c>
      <c r="K1026" s="84"/>
      <c r="L1026" s="83" t="s">
        <v>12</v>
      </c>
      <c r="M1026" s="83" t="s">
        <v>49</v>
      </c>
      <c r="N1026" s="85">
        <v>45986</v>
      </c>
      <c r="O1026" s="86" t="s">
        <v>10</v>
      </c>
      <c r="P1026" s="85" t="s">
        <v>0</v>
      </c>
      <c r="Q1026" s="91">
        <v>972064900</v>
      </c>
      <c r="R1026" s="87"/>
      <c r="S1026" s="75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29"/>
      <c r="AH1026" s="29"/>
      <c r="AI1026" s="29"/>
      <c r="AJ1026" s="29"/>
      <c r="AK1026" s="29"/>
    </row>
    <row r="1027" spans="2:37" ht="16.2" x14ac:dyDescent="0.3">
      <c r="B1027" s="80">
        <v>1019</v>
      </c>
      <c r="C1027" s="84" t="s">
        <v>1300</v>
      </c>
      <c r="D1027" s="82" t="s">
        <v>1301</v>
      </c>
      <c r="E1027" s="83">
        <v>8715</v>
      </c>
      <c r="F1027" s="83" t="s">
        <v>16</v>
      </c>
      <c r="G1027" s="83" t="s">
        <v>77</v>
      </c>
      <c r="H1027" s="83" t="s">
        <v>14</v>
      </c>
      <c r="I1027" s="83" t="s">
        <v>21</v>
      </c>
      <c r="J1027" s="83">
        <v>40</v>
      </c>
      <c r="K1027" s="83"/>
      <c r="L1027" s="83" t="s">
        <v>12</v>
      </c>
      <c r="M1027" s="83" t="s">
        <v>49</v>
      </c>
      <c r="N1027" s="85">
        <v>45986</v>
      </c>
      <c r="O1027" s="86" t="s">
        <v>10</v>
      </c>
      <c r="P1027" s="85" t="s">
        <v>0</v>
      </c>
      <c r="Q1027" s="91">
        <v>972064900</v>
      </c>
      <c r="R1027" s="87"/>
      <c r="S1027" s="75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/>
      <c r="AI1027" s="29"/>
      <c r="AJ1027" s="29"/>
      <c r="AK1027" s="29"/>
    </row>
    <row r="1028" spans="2:37" ht="16.2" x14ac:dyDescent="0.3">
      <c r="B1028" s="80">
        <v>1020</v>
      </c>
      <c r="C1028" s="84" t="s">
        <v>1302</v>
      </c>
      <c r="D1028" s="82" t="s">
        <v>1303</v>
      </c>
      <c r="E1028" s="83">
        <v>8716</v>
      </c>
      <c r="F1028" s="83" t="s">
        <v>16</v>
      </c>
      <c r="G1028" s="83" t="s">
        <v>46</v>
      </c>
      <c r="H1028" s="83" t="s">
        <v>14</v>
      </c>
      <c r="I1028" s="83" t="s">
        <v>13</v>
      </c>
      <c r="J1028" s="83">
        <v>40</v>
      </c>
      <c r="K1028" s="83"/>
      <c r="L1028" s="83" t="s">
        <v>26</v>
      </c>
      <c r="M1028" s="83" t="s">
        <v>49</v>
      </c>
      <c r="N1028" s="85">
        <v>45986</v>
      </c>
      <c r="O1028" s="86" t="s">
        <v>10</v>
      </c>
      <c r="P1028" s="85" t="s">
        <v>0</v>
      </c>
      <c r="Q1028" s="91">
        <v>818888981</v>
      </c>
      <c r="R1028" s="87"/>
      <c r="S1028" s="75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/>
      <c r="AI1028" s="29"/>
      <c r="AJ1028" s="29"/>
      <c r="AK1028" s="29"/>
    </row>
    <row r="1029" spans="2:37" ht="16.2" x14ac:dyDescent="0.3">
      <c r="B1029" s="80">
        <v>1021</v>
      </c>
      <c r="C1029" s="84" t="s">
        <v>52</v>
      </c>
      <c r="D1029" s="82" t="s">
        <v>1304</v>
      </c>
      <c r="E1029" s="83">
        <v>8717</v>
      </c>
      <c r="F1029" s="83" t="s">
        <v>16</v>
      </c>
      <c r="G1029" s="83" t="s">
        <v>50</v>
      </c>
      <c r="H1029" s="83" t="s">
        <v>14</v>
      </c>
      <c r="I1029" s="83" t="s">
        <v>1059</v>
      </c>
      <c r="J1029" s="106">
        <v>30</v>
      </c>
      <c r="K1029" s="83"/>
      <c r="L1029" s="83" t="s">
        <v>26</v>
      </c>
      <c r="M1029" s="83" t="s">
        <v>49</v>
      </c>
      <c r="N1029" s="85">
        <v>45986</v>
      </c>
      <c r="O1029" s="86" t="s">
        <v>10</v>
      </c>
      <c r="P1029" s="85" t="s">
        <v>9</v>
      </c>
      <c r="Q1029" s="91">
        <v>973642116</v>
      </c>
      <c r="R1029" s="87"/>
      <c r="S1029" s="75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29"/>
      <c r="AH1029" s="29"/>
      <c r="AI1029" s="29"/>
      <c r="AJ1029" s="29"/>
      <c r="AK1029" s="29"/>
    </row>
    <row r="1030" spans="2:37" ht="16.2" x14ac:dyDescent="0.3">
      <c r="B1030" s="80">
        <v>1022</v>
      </c>
      <c r="C1030" s="84" t="s">
        <v>1085</v>
      </c>
      <c r="D1030" s="82" t="s">
        <v>1086</v>
      </c>
      <c r="E1030" s="83">
        <v>8718</v>
      </c>
      <c r="F1030" s="83" t="s">
        <v>16</v>
      </c>
      <c r="G1030" s="83" t="s">
        <v>167</v>
      </c>
      <c r="H1030" s="83" t="s">
        <v>14</v>
      </c>
      <c r="I1030" s="83" t="s">
        <v>21</v>
      </c>
      <c r="J1030" s="83">
        <v>100</v>
      </c>
      <c r="K1030" s="83"/>
      <c r="L1030" s="83" t="s">
        <v>12</v>
      </c>
      <c r="M1030" s="83" t="s">
        <v>11</v>
      </c>
      <c r="N1030" s="85">
        <v>45987</v>
      </c>
      <c r="O1030" s="86" t="s">
        <v>25</v>
      </c>
      <c r="P1030" s="85" t="s">
        <v>20</v>
      </c>
      <c r="Q1030" s="91">
        <v>990528748</v>
      </c>
      <c r="R1030" s="87"/>
      <c r="S1030" s="75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/>
      <c r="AI1030" s="29"/>
      <c r="AJ1030" s="29"/>
      <c r="AK1030" s="29"/>
    </row>
    <row r="1031" spans="2:37" ht="16.2" x14ac:dyDescent="0.3">
      <c r="B1031" s="80">
        <v>1023</v>
      </c>
      <c r="C1031" s="84" t="s">
        <v>1082</v>
      </c>
      <c r="D1031" s="82" t="s">
        <v>1083</v>
      </c>
      <c r="E1031" s="83">
        <v>8719</v>
      </c>
      <c r="F1031" s="83" t="s">
        <v>16</v>
      </c>
      <c r="G1031" s="83" t="s">
        <v>72</v>
      </c>
      <c r="H1031" s="83" t="s">
        <v>14</v>
      </c>
      <c r="I1031" s="83" t="s">
        <v>21</v>
      </c>
      <c r="J1031" s="83">
        <v>55</v>
      </c>
      <c r="K1031" s="83"/>
      <c r="L1031" s="83" t="s">
        <v>12</v>
      </c>
      <c r="M1031" s="83" t="s">
        <v>11</v>
      </c>
      <c r="N1031" s="85">
        <v>45987</v>
      </c>
      <c r="O1031" s="86" t="s">
        <v>25</v>
      </c>
      <c r="P1031" s="85" t="s">
        <v>20</v>
      </c>
      <c r="Q1031" s="91" t="s">
        <v>1084</v>
      </c>
      <c r="R1031" s="87"/>
      <c r="S1031" s="75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/>
      <c r="AI1031" s="29"/>
      <c r="AJ1031" s="29"/>
      <c r="AK1031" s="29"/>
    </row>
    <row r="1032" spans="2:37" ht="16.2" x14ac:dyDescent="0.3">
      <c r="B1032" s="80">
        <v>1024</v>
      </c>
      <c r="C1032" s="84" t="s">
        <v>745</v>
      </c>
      <c r="D1032" s="82" t="s">
        <v>744</v>
      </c>
      <c r="E1032" s="83">
        <v>8720</v>
      </c>
      <c r="F1032" s="83" t="s">
        <v>16</v>
      </c>
      <c r="G1032" s="83" t="s">
        <v>237</v>
      </c>
      <c r="H1032" s="83" t="s">
        <v>14</v>
      </c>
      <c r="I1032" s="83" t="s">
        <v>21</v>
      </c>
      <c r="J1032" s="83">
        <v>55</v>
      </c>
      <c r="K1032" s="83"/>
      <c r="L1032" s="83" t="s">
        <v>12</v>
      </c>
      <c r="M1032" s="83" t="s">
        <v>11</v>
      </c>
      <c r="N1032" s="85">
        <v>45987</v>
      </c>
      <c r="O1032" s="86" t="s">
        <v>10</v>
      </c>
      <c r="P1032" s="85" t="s">
        <v>20</v>
      </c>
      <c r="Q1032" s="91">
        <v>990268855</v>
      </c>
      <c r="R1032" s="87"/>
      <c r="S1032" s="75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29"/>
      <c r="AH1032" s="29"/>
      <c r="AI1032" s="29"/>
      <c r="AJ1032" s="29"/>
      <c r="AK1032" s="29"/>
    </row>
    <row r="1033" spans="2:37" ht="16.2" x14ac:dyDescent="0.3">
      <c r="B1033" s="80">
        <v>1025</v>
      </c>
      <c r="C1033" s="84" t="s">
        <v>743</v>
      </c>
      <c r="D1033" s="82" t="s">
        <v>742</v>
      </c>
      <c r="E1033" s="83">
        <v>8721</v>
      </c>
      <c r="F1033" s="83" t="s">
        <v>16</v>
      </c>
      <c r="G1033" s="83" t="s">
        <v>37</v>
      </c>
      <c r="H1033" s="83" t="s">
        <v>14</v>
      </c>
      <c r="I1033" s="83" t="s">
        <v>21</v>
      </c>
      <c r="J1033" s="83">
        <v>45</v>
      </c>
      <c r="K1033" s="83"/>
      <c r="L1033" s="83" t="s">
        <v>26</v>
      </c>
      <c r="M1033" s="83" t="s">
        <v>11</v>
      </c>
      <c r="N1033" s="85">
        <v>45987</v>
      </c>
      <c r="O1033" s="86" t="s">
        <v>10</v>
      </c>
      <c r="P1033" s="85" t="s">
        <v>20</v>
      </c>
      <c r="Q1033" s="91"/>
      <c r="R1033" s="87"/>
      <c r="S1033" s="75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29"/>
      <c r="AH1033" s="29"/>
      <c r="AI1033" s="29"/>
      <c r="AJ1033" s="29"/>
      <c r="AK1033" s="29"/>
    </row>
    <row r="1034" spans="2:37" ht="16.2" x14ac:dyDescent="0.3">
      <c r="B1034" s="80">
        <v>1026</v>
      </c>
      <c r="C1034" s="84" t="s">
        <v>741</v>
      </c>
      <c r="D1034" s="82" t="s">
        <v>740</v>
      </c>
      <c r="E1034" s="83">
        <v>8722</v>
      </c>
      <c r="F1034" s="83" t="s">
        <v>16</v>
      </c>
      <c r="G1034" s="83" t="s">
        <v>83</v>
      </c>
      <c r="H1034" s="83" t="s">
        <v>14</v>
      </c>
      <c r="I1034" s="83" t="s">
        <v>21</v>
      </c>
      <c r="J1034" s="83">
        <v>40</v>
      </c>
      <c r="K1034" s="83"/>
      <c r="L1034" s="83" t="s">
        <v>26</v>
      </c>
      <c r="M1034" s="83" t="s">
        <v>11</v>
      </c>
      <c r="N1034" s="85">
        <v>45987</v>
      </c>
      <c r="O1034" s="86" t="s">
        <v>10</v>
      </c>
      <c r="P1034" s="85" t="s">
        <v>9</v>
      </c>
      <c r="Q1034" s="91">
        <v>853419627</v>
      </c>
      <c r="R1034" s="87"/>
      <c r="S1034" s="75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/>
      <c r="AI1034" s="29"/>
      <c r="AJ1034" s="29"/>
      <c r="AK1034" s="29"/>
    </row>
    <row r="1035" spans="2:37" ht="16.2" x14ac:dyDescent="0.3">
      <c r="B1035" s="80">
        <v>1027</v>
      </c>
      <c r="C1035" s="84" t="s">
        <v>1305</v>
      </c>
      <c r="D1035" s="82" t="s">
        <v>1306</v>
      </c>
      <c r="E1035" s="83">
        <v>8723</v>
      </c>
      <c r="F1035" s="83" t="s">
        <v>28</v>
      </c>
      <c r="G1035" s="83" t="s">
        <v>40</v>
      </c>
      <c r="H1035" s="83" t="s">
        <v>14</v>
      </c>
      <c r="I1035" s="83" t="s">
        <v>13</v>
      </c>
      <c r="J1035" s="83">
        <v>40</v>
      </c>
      <c r="K1035" s="83"/>
      <c r="L1035" s="83" t="s">
        <v>26</v>
      </c>
      <c r="M1035" s="83" t="s">
        <v>11</v>
      </c>
      <c r="N1035" s="85">
        <v>45987</v>
      </c>
      <c r="O1035" s="86" t="s">
        <v>10</v>
      </c>
      <c r="P1035" s="85" t="s">
        <v>0</v>
      </c>
      <c r="Q1035" s="91">
        <v>997021523</v>
      </c>
      <c r="R1035" s="87"/>
      <c r="S1035" s="75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29"/>
      <c r="AH1035" s="29"/>
      <c r="AI1035" s="29"/>
      <c r="AJ1035" s="29"/>
      <c r="AK1035" s="29"/>
    </row>
    <row r="1036" spans="2:37" ht="16.2" x14ac:dyDescent="0.3">
      <c r="B1036" s="80">
        <v>1028</v>
      </c>
      <c r="C1036" s="84" t="s">
        <v>182</v>
      </c>
      <c r="D1036" s="82" t="s">
        <v>181</v>
      </c>
      <c r="E1036" s="83">
        <v>8724</v>
      </c>
      <c r="F1036" s="83" t="s">
        <v>16</v>
      </c>
      <c r="G1036" s="83" t="s">
        <v>146</v>
      </c>
      <c r="H1036" s="83" t="s">
        <v>14</v>
      </c>
      <c r="I1036" s="83" t="s">
        <v>281</v>
      </c>
      <c r="J1036" s="83">
        <v>13.04</v>
      </c>
      <c r="K1036" s="83"/>
      <c r="L1036" s="83" t="s">
        <v>12</v>
      </c>
      <c r="M1036" s="83" t="s">
        <v>11</v>
      </c>
      <c r="N1036" s="85">
        <v>45987</v>
      </c>
      <c r="O1036" s="86" t="s">
        <v>10</v>
      </c>
      <c r="P1036" s="85" t="s">
        <v>20</v>
      </c>
      <c r="Q1036" s="91">
        <v>972092937</v>
      </c>
      <c r="R1036" s="87"/>
      <c r="S1036" s="75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29"/>
      <c r="AH1036" s="29"/>
      <c r="AI1036" s="29"/>
      <c r="AJ1036" s="29"/>
      <c r="AK1036" s="29"/>
    </row>
    <row r="1037" spans="2:37" ht="16.2" x14ac:dyDescent="0.3">
      <c r="B1037" s="80">
        <v>1029</v>
      </c>
      <c r="C1037" s="84" t="s">
        <v>1307</v>
      </c>
      <c r="D1037" s="82" t="s">
        <v>1308</v>
      </c>
      <c r="E1037" s="83">
        <v>8725</v>
      </c>
      <c r="F1037" s="84" t="s">
        <v>28</v>
      </c>
      <c r="G1037" s="84" t="s">
        <v>27</v>
      </c>
      <c r="H1037" s="84" t="s">
        <v>14</v>
      </c>
      <c r="I1037" s="84" t="s">
        <v>281</v>
      </c>
      <c r="J1037" s="84">
        <v>50</v>
      </c>
      <c r="K1037" s="84"/>
      <c r="L1037" s="84" t="s">
        <v>26</v>
      </c>
      <c r="M1037" s="84" t="s">
        <v>11</v>
      </c>
      <c r="N1037" s="85">
        <v>45987</v>
      </c>
      <c r="O1037" s="86" t="s">
        <v>25</v>
      </c>
      <c r="P1037" s="97" t="s">
        <v>20</v>
      </c>
      <c r="Q1037" s="91">
        <v>848444945</v>
      </c>
      <c r="R1037" s="91"/>
      <c r="S1037" s="75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29"/>
      <c r="AH1037" s="29"/>
      <c r="AI1037" s="29"/>
      <c r="AJ1037" s="29"/>
      <c r="AK1037" s="29"/>
    </row>
    <row r="1038" spans="2:37" ht="16.2" x14ac:dyDescent="0.3">
      <c r="B1038" s="80">
        <v>1030</v>
      </c>
      <c r="C1038" s="84" t="s">
        <v>1309</v>
      </c>
      <c r="D1038" s="82" t="s">
        <v>1310</v>
      </c>
      <c r="E1038" s="83">
        <v>8726</v>
      </c>
      <c r="F1038" s="83" t="s">
        <v>28</v>
      </c>
      <c r="G1038" s="83" t="s">
        <v>140</v>
      </c>
      <c r="H1038" s="83" t="s">
        <v>14</v>
      </c>
      <c r="I1038" s="83" t="s">
        <v>281</v>
      </c>
      <c r="J1038" s="83">
        <v>50</v>
      </c>
      <c r="K1038" s="84"/>
      <c r="L1038" s="83" t="s">
        <v>12</v>
      </c>
      <c r="M1038" s="83" t="s">
        <v>11</v>
      </c>
      <c r="N1038" s="85">
        <v>45987</v>
      </c>
      <c r="O1038" s="86" t="s">
        <v>25</v>
      </c>
      <c r="P1038" s="85" t="s">
        <v>20</v>
      </c>
      <c r="Q1038" s="91">
        <v>848444945</v>
      </c>
      <c r="R1038" s="87"/>
      <c r="S1038" s="75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29"/>
      <c r="AH1038" s="29"/>
      <c r="AI1038" s="29"/>
      <c r="AJ1038" s="29"/>
      <c r="AK1038" s="29"/>
    </row>
    <row r="1039" spans="2:37" ht="16.2" x14ac:dyDescent="0.3">
      <c r="B1039" s="80">
        <v>1031</v>
      </c>
      <c r="C1039" s="84" t="s">
        <v>215</v>
      </c>
      <c r="D1039" s="82" t="s">
        <v>214</v>
      </c>
      <c r="E1039" s="83">
        <v>8727</v>
      </c>
      <c r="F1039" s="83" t="s">
        <v>28</v>
      </c>
      <c r="G1039" s="83" t="s">
        <v>201</v>
      </c>
      <c r="H1039" s="83" t="s">
        <v>14</v>
      </c>
      <c r="I1039" s="83" t="s">
        <v>13</v>
      </c>
      <c r="J1039" s="83">
        <v>40</v>
      </c>
      <c r="K1039" s="84"/>
      <c r="L1039" s="83" t="s">
        <v>26</v>
      </c>
      <c r="M1039" s="83" t="s">
        <v>11</v>
      </c>
      <c r="N1039" s="85">
        <v>45987</v>
      </c>
      <c r="O1039" s="86" t="s">
        <v>10</v>
      </c>
      <c r="P1039" s="85" t="s">
        <v>9</v>
      </c>
      <c r="Q1039" s="91">
        <v>977952145</v>
      </c>
      <c r="R1039" s="87"/>
      <c r="S1039" s="75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29"/>
      <c r="AH1039" s="29"/>
      <c r="AI1039" s="29"/>
      <c r="AJ1039" s="29"/>
      <c r="AK1039" s="29"/>
    </row>
    <row r="1040" spans="2:37" ht="16.2" x14ac:dyDescent="0.3">
      <c r="B1040" s="80">
        <v>1032</v>
      </c>
      <c r="C1040" s="84" t="s">
        <v>213</v>
      </c>
      <c r="D1040" s="82" t="s">
        <v>212</v>
      </c>
      <c r="E1040" s="83">
        <v>8728</v>
      </c>
      <c r="F1040" s="83" t="s">
        <v>28</v>
      </c>
      <c r="G1040" s="83" t="s">
        <v>80</v>
      </c>
      <c r="H1040" s="83" t="s">
        <v>14</v>
      </c>
      <c r="I1040" s="83" t="s">
        <v>13</v>
      </c>
      <c r="J1040" s="83">
        <v>40</v>
      </c>
      <c r="K1040" s="84"/>
      <c r="L1040" s="83" t="s">
        <v>26</v>
      </c>
      <c r="M1040" s="83" t="s">
        <v>11</v>
      </c>
      <c r="N1040" s="85">
        <v>45987</v>
      </c>
      <c r="O1040" s="86" t="s">
        <v>10</v>
      </c>
      <c r="P1040" s="85" t="s">
        <v>9</v>
      </c>
      <c r="Q1040" s="91">
        <v>977952145</v>
      </c>
      <c r="R1040" s="87"/>
      <c r="S1040" s="75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29"/>
      <c r="AH1040" s="29"/>
      <c r="AI1040" s="29"/>
      <c r="AJ1040" s="29"/>
      <c r="AK1040" s="29"/>
    </row>
    <row r="1041" spans="2:37" ht="16.2" x14ac:dyDescent="0.3">
      <c r="B1041" s="80">
        <v>1033</v>
      </c>
      <c r="C1041" s="84" t="s">
        <v>964</v>
      </c>
      <c r="D1041" s="82" t="s">
        <v>965</v>
      </c>
      <c r="E1041" s="83">
        <v>8729</v>
      </c>
      <c r="F1041" s="84" t="s">
        <v>28</v>
      </c>
      <c r="G1041" s="83" t="s">
        <v>130</v>
      </c>
      <c r="H1041" s="83" t="s">
        <v>14</v>
      </c>
      <c r="I1041" s="83" t="s">
        <v>21</v>
      </c>
      <c r="J1041" s="84">
        <v>60</v>
      </c>
      <c r="K1041" s="84"/>
      <c r="L1041" s="84" t="s">
        <v>12</v>
      </c>
      <c r="M1041" s="84" t="s">
        <v>11</v>
      </c>
      <c r="N1041" s="85">
        <v>45987</v>
      </c>
      <c r="O1041" s="86" t="s">
        <v>10</v>
      </c>
      <c r="P1041" s="97" t="s">
        <v>20</v>
      </c>
      <c r="Q1041" s="91">
        <v>992489993</v>
      </c>
      <c r="R1041" s="91"/>
      <c r="S1041" s="75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29"/>
      <c r="AH1041" s="29"/>
      <c r="AI1041" s="29"/>
      <c r="AJ1041" s="29"/>
      <c r="AK1041" s="29"/>
    </row>
    <row r="1042" spans="2:37" ht="16.2" x14ac:dyDescent="0.3">
      <c r="B1042" s="80">
        <v>1034</v>
      </c>
      <c r="C1042" s="84" t="s">
        <v>351</v>
      </c>
      <c r="D1042" s="82" t="s">
        <v>350</v>
      </c>
      <c r="E1042" s="83">
        <v>8730</v>
      </c>
      <c r="F1042" s="84" t="s">
        <v>28</v>
      </c>
      <c r="G1042" s="83" t="s">
        <v>301</v>
      </c>
      <c r="H1042" s="83" t="s">
        <v>14</v>
      </c>
      <c r="I1042" s="83" t="s">
        <v>21</v>
      </c>
      <c r="J1042" s="84">
        <v>100</v>
      </c>
      <c r="K1042" s="84"/>
      <c r="L1042" s="84" t="s">
        <v>12</v>
      </c>
      <c r="M1042" s="84" t="s">
        <v>11</v>
      </c>
      <c r="N1042" s="85">
        <v>45987</v>
      </c>
      <c r="O1042" s="86" t="s">
        <v>25</v>
      </c>
      <c r="P1042" s="97" t="s">
        <v>20</v>
      </c>
      <c r="Q1042" s="91">
        <v>996583994</v>
      </c>
      <c r="R1042" s="91"/>
      <c r="S1042" s="75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29"/>
      <c r="AH1042" s="29"/>
      <c r="AI1042" s="29"/>
      <c r="AJ1042" s="29"/>
      <c r="AK1042" s="29"/>
    </row>
    <row r="1043" spans="2:37" ht="16.2" x14ac:dyDescent="0.3">
      <c r="B1043" s="80">
        <v>1035</v>
      </c>
      <c r="C1043" s="84" t="s">
        <v>1311</v>
      </c>
      <c r="D1043" s="82" t="s">
        <v>1312</v>
      </c>
      <c r="E1043" s="83">
        <v>8731</v>
      </c>
      <c r="F1043" s="83" t="s">
        <v>28</v>
      </c>
      <c r="G1043" s="83" t="s">
        <v>100</v>
      </c>
      <c r="H1043" s="83" t="s">
        <v>14</v>
      </c>
      <c r="I1043" s="83" t="s">
        <v>13</v>
      </c>
      <c r="J1043" s="83">
        <v>55</v>
      </c>
      <c r="K1043" s="83"/>
      <c r="L1043" s="83" t="s">
        <v>12</v>
      </c>
      <c r="M1043" s="83" t="s">
        <v>11</v>
      </c>
      <c r="N1043" s="85">
        <v>45987</v>
      </c>
      <c r="O1043" s="86" t="s">
        <v>10</v>
      </c>
      <c r="P1043" s="97" t="s">
        <v>20</v>
      </c>
      <c r="Q1043" s="91" t="s">
        <v>1313</v>
      </c>
      <c r="R1043" s="91"/>
      <c r="S1043" s="75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29"/>
      <c r="AH1043" s="29"/>
      <c r="AI1043" s="29"/>
      <c r="AJ1043" s="29"/>
      <c r="AK1043" s="29"/>
    </row>
    <row r="1044" spans="2:37" ht="16.2" x14ac:dyDescent="0.3">
      <c r="B1044" s="80">
        <v>1036</v>
      </c>
      <c r="C1044" s="84" t="s">
        <v>970</v>
      </c>
      <c r="D1044" s="82" t="s">
        <v>971</v>
      </c>
      <c r="E1044" s="83">
        <v>8732</v>
      </c>
      <c r="F1044" s="83" t="s">
        <v>16</v>
      </c>
      <c r="G1044" s="83" t="s">
        <v>40</v>
      </c>
      <c r="H1044" s="83" t="s">
        <v>14</v>
      </c>
      <c r="I1044" s="83" t="s">
        <v>21</v>
      </c>
      <c r="J1044" s="83">
        <v>40</v>
      </c>
      <c r="K1044" s="84"/>
      <c r="L1044" s="83" t="s">
        <v>26</v>
      </c>
      <c r="M1044" s="83" t="s">
        <v>112</v>
      </c>
      <c r="N1044" s="85">
        <v>45988</v>
      </c>
      <c r="O1044" s="86" t="s">
        <v>25</v>
      </c>
      <c r="P1044" s="85" t="s">
        <v>0</v>
      </c>
      <c r="Q1044" s="91">
        <v>812660890</v>
      </c>
      <c r="R1044" s="87"/>
      <c r="S1044" s="75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29"/>
      <c r="AH1044" s="29"/>
      <c r="AI1044" s="29"/>
      <c r="AJ1044" s="29"/>
      <c r="AK1044" s="29"/>
    </row>
    <row r="1045" spans="2:37" ht="16.2" x14ac:dyDescent="0.3">
      <c r="B1045" s="80">
        <v>1037</v>
      </c>
      <c r="C1045" s="84" t="s">
        <v>1289</v>
      </c>
      <c r="D1045" s="82" t="s">
        <v>1290</v>
      </c>
      <c r="E1045" s="83">
        <v>8733</v>
      </c>
      <c r="F1045" s="83" t="s">
        <v>28</v>
      </c>
      <c r="G1045" s="84" t="s">
        <v>50</v>
      </c>
      <c r="H1045" s="83" t="s">
        <v>14</v>
      </c>
      <c r="I1045" s="83" t="s">
        <v>93</v>
      </c>
      <c r="J1045" s="83">
        <v>40</v>
      </c>
      <c r="K1045" s="84"/>
      <c r="L1045" s="83" t="s">
        <v>12</v>
      </c>
      <c r="M1045" s="83" t="s">
        <v>112</v>
      </c>
      <c r="N1045" s="85">
        <v>45988</v>
      </c>
      <c r="O1045" s="86" t="s">
        <v>10</v>
      </c>
      <c r="P1045" s="85" t="s">
        <v>9</v>
      </c>
      <c r="Q1045" s="91">
        <v>997707774</v>
      </c>
      <c r="R1045" s="87"/>
      <c r="S1045" s="75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29"/>
      <c r="AH1045" s="29"/>
      <c r="AI1045" s="29"/>
      <c r="AJ1045" s="29"/>
      <c r="AK1045" s="29"/>
    </row>
    <row r="1046" spans="2:37" ht="16.2" x14ac:dyDescent="0.3">
      <c r="B1046" s="80">
        <v>1038</v>
      </c>
      <c r="C1046" s="84" t="s">
        <v>182</v>
      </c>
      <c r="D1046" s="82" t="s">
        <v>181</v>
      </c>
      <c r="E1046" s="83">
        <v>8734</v>
      </c>
      <c r="F1046" s="83" t="s">
        <v>16</v>
      </c>
      <c r="G1046" s="84" t="s">
        <v>146</v>
      </c>
      <c r="H1046" s="83" t="s">
        <v>14</v>
      </c>
      <c r="I1046" s="83" t="s">
        <v>1059</v>
      </c>
      <c r="J1046" s="83">
        <v>8.26</v>
      </c>
      <c r="K1046" s="84"/>
      <c r="L1046" s="83" t="s">
        <v>12</v>
      </c>
      <c r="M1046" s="83" t="s">
        <v>112</v>
      </c>
      <c r="N1046" s="85">
        <v>45988</v>
      </c>
      <c r="O1046" s="86" t="s">
        <v>10</v>
      </c>
      <c r="P1046" s="85" t="s">
        <v>20</v>
      </c>
      <c r="Q1046" s="91">
        <v>972092937</v>
      </c>
      <c r="R1046" s="87"/>
      <c r="S1046" s="75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29"/>
      <c r="AH1046" s="29"/>
      <c r="AI1046" s="29"/>
      <c r="AJ1046" s="29"/>
      <c r="AK1046" s="29"/>
    </row>
    <row r="1047" spans="2:37" ht="16.2" x14ac:dyDescent="0.3">
      <c r="B1047" s="80">
        <v>1039</v>
      </c>
      <c r="C1047" s="84" t="s">
        <v>664</v>
      </c>
      <c r="D1047" s="82" t="s">
        <v>663</v>
      </c>
      <c r="E1047" s="83">
        <v>8735</v>
      </c>
      <c r="F1047" s="83" t="s">
        <v>28</v>
      </c>
      <c r="G1047" s="83" t="s">
        <v>50</v>
      </c>
      <c r="H1047" s="83" t="s">
        <v>14</v>
      </c>
      <c r="I1047" s="83" t="s">
        <v>21</v>
      </c>
      <c r="J1047" s="83">
        <v>40</v>
      </c>
      <c r="K1047" s="83"/>
      <c r="L1047" s="83" t="s">
        <v>12</v>
      </c>
      <c r="M1047" s="83" t="s">
        <v>112</v>
      </c>
      <c r="N1047" s="85">
        <v>45988</v>
      </c>
      <c r="O1047" s="86" t="s">
        <v>10</v>
      </c>
      <c r="P1047" s="85" t="s">
        <v>9</v>
      </c>
      <c r="Q1047" s="91"/>
      <c r="R1047" s="87" t="s">
        <v>1314</v>
      </c>
      <c r="S1047" s="75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29"/>
      <c r="AH1047" s="29"/>
      <c r="AI1047" s="29"/>
      <c r="AJ1047" s="29"/>
      <c r="AK1047" s="29"/>
    </row>
    <row r="1048" spans="2:37" ht="16.2" x14ac:dyDescent="0.3">
      <c r="B1048" s="80">
        <v>1040</v>
      </c>
      <c r="C1048" s="84" t="s">
        <v>664</v>
      </c>
      <c r="D1048" s="82" t="s">
        <v>663</v>
      </c>
      <c r="E1048" s="83">
        <v>8736</v>
      </c>
      <c r="F1048" s="83" t="s">
        <v>28</v>
      </c>
      <c r="G1048" s="83" t="s">
        <v>50</v>
      </c>
      <c r="H1048" s="83" t="s">
        <v>14</v>
      </c>
      <c r="I1048" s="83" t="s">
        <v>93</v>
      </c>
      <c r="J1048" s="83">
        <v>40</v>
      </c>
      <c r="K1048" s="83"/>
      <c r="L1048" s="83" t="s">
        <v>12</v>
      </c>
      <c r="M1048" s="83" t="s">
        <v>112</v>
      </c>
      <c r="N1048" s="85">
        <v>45988</v>
      </c>
      <c r="O1048" s="86" t="s">
        <v>10</v>
      </c>
      <c r="P1048" s="85" t="s">
        <v>9</v>
      </c>
      <c r="Q1048" s="91"/>
      <c r="R1048" s="87" t="s">
        <v>1314</v>
      </c>
      <c r="S1048" s="75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29"/>
      <c r="AH1048" s="29"/>
      <c r="AI1048" s="29"/>
      <c r="AJ1048" s="29"/>
      <c r="AK1048" s="29"/>
    </row>
    <row r="1049" spans="2:37" ht="16.2" x14ac:dyDescent="0.3">
      <c r="B1049" s="80">
        <v>1041</v>
      </c>
      <c r="C1049" s="84" t="s">
        <v>1315</v>
      </c>
      <c r="D1049" s="82" t="s">
        <v>1316</v>
      </c>
      <c r="E1049" s="83">
        <v>8737</v>
      </c>
      <c r="F1049" s="83" t="s">
        <v>28</v>
      </c>
      <c r="G1049" s="83" t="s">
        <v>77</v>
      </c>
      <c r="H1049" s="83" t="s">
        <v>14</v>
      </c>
      <c r="I1049" s="83" t="s">
        <v>21</v>
      </c>
      <c r="J1049" s="83">
        <v>40</v>
      </c>
      <c r="K1049" s="83"/>
      <c r="L1049" s="83" t="s">
        <v>12</v>
      </c>
      <c r="M1049" s="83" t="s">
        <v>112</v>
      </c>
      <c r="N1049" s="85">
        <v>45988</v>
      </c>
      <c r="O1049" s="86" t="s">
        <v>10</v>
      </c>
      <c r="P1049" s="85" t="s">
        <v>0</v>
      </c>
      <c r="Q1049" s="91"/>
      <c r="R1049" s="87" t="s">
        <v>1314</v>
      </c>
      <c r="S1049" s="75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</row>
    <row r="1050" spans="2:37" ht="16.2" x14ac:dyDescent="0.3">
      <c r="B1050" s="80">
        <v>1042</v>
      </c>
      <c r="C1050" s="84" t="s">
        <v>1315</v>
      </c>
      <c r="D1050" s="82" t="s">
        <v>1316</v>
      </c>
      <c r="E1050" s="83">
        <v>8738</v>
      </c>
      <c r="F1050" s="83" t="s">
        <v>28</v>
      </c>
      <c r="G1050" s="83" t="s">
        <v>77</v>
      </c>
      <c r="H1050" s="83" t="s">
        <v>14</v>
      </c>
      <c r="I1050" s="83" t="s">
        <v>93</v>
      </c>
      <c r="J1050" s="83">
        <v>40</v>
      </c>
      <c r="K1050" s="83"/>
      <c r="L1050" s="83" t="s">
        <v>12</v>
      </c>
      <c r="M1050" s="83" t="s">
        <v>112</v>
      </c>
      <c r="N1050" s="85">
        <v>45988</v>
      </c>
      <c r="O1050" s="86" t="s">
        <v>10</v>
      </c>
      <c r="P1050" s="85" t="s">
        <v>0</v>
      </c>
      <c r="Q1050" s="91"/>
      <c r="R1050" s="87" t="s">
        <v>1314</v>
      </c>
      <c r="S1050" s="75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29"/>
      <c r="AH1050" s="29"/>
      <c r="AI1050" s="29"/>
      <c r="AJ1050" s="29"/>
      <c r="AK1050" s="29"/>
    </row>
    <row r="1051" spans="2:37" ht="16.2" x14ac:dyDescent="0.3">
      <c r="B1051" s="80">
        <v>1043</v>
      </c>
      <c r="C1051" s="84" t="s">
        <v>662</v>
      </c>
      <c r="D1051" s="82" t="s">
        <v>661</v>
      </c>
      <c r="E1051" s="83">
        <v>8739</v>
      </c>
      <c r="F1051" s="83" t="s">
        <v>16</v>
      </c>
      <c r="G1051" s="83" t="s">
        <v>83</v>
      </c>
      <c r="H1051" s="83" t="s">
        <v>14</v>
      </c>
      <c r="I1051" s="83" t="s">
        <v>21</v>
      </c>
      <c r="J1051" s="83">
        <v>40</v>
      </c>
      <c r="K1051" s="83"/>
      <c r="L1051" s="83" t="s">
        <v>12</v>
      </c>
      <c r="M1051" s="83" t="s">
        <v>112</v>
      </c>
      <c r="N1051" s="85">
        <v>45988</v>
      </c>
      <c r="O1051" s="86" t="s">
        <v>10</v>
      </c>
      <c r="P1051" s="85" t="s">
        <v>9</v>
      </c>
      <c r="Q1051" s="91"/>
      <c r="R1051" s="87" t="s">
        <v>1314</v>
      </c>
      <c r="S1051" s="75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29"/>
      <c r="AH1051" s="29"/>
      <c r="AI1051" s="29"/>
      <c r="AJ1051" s="29"/>
      <c r="AK1051" s="29"/>
    </row>
    <row r="1052" spans="2:37" ht="16.2" x14ac:dyDescent="0.3">
      <c r="B1052" s="80">
        <v>1044</v>
      </c>
      <c r="C1052" s="84" t="s">
        <v>662</v>
      </c>
      <c r="D1052" s="82" t="s">
        <v>661</v>
      </c>
      <c r="E1052" s="83">
        <v>8740</v>
      </c>
      <c r="F1052" s="84" t="s">
        <v>16</v>
      </c>
      <c r="G1052" s="83" t="s">
        <v>83</v>
      </c>
      <c r="H1052" s="83" t="s">
        <v>14</v>
      </c>
      <c r="I1052" s="83" t="s">
        <v>93</v>
      </c>
      <c r="J1052" s="84">
        <v>40</v>
      </c>
      <c r="K1052" s="84"/>
      <c r="L1052" s="84" t="s">
        <v>12</v>
      </c>
      <c r="M1052" s="84" t="s">
        <v>112</v>
      </c>
      <c r="N1052" s="85">
        <v>45988</v>
      </c>
      <c r="O1052" s="86" t="s">
        <v>10</v>
      </c>
      <c r="P1052" s="97" t="s">
        <v>9</v>
      </c>
      <c r="Q1052" s="91"/>
      <c r="R1052" s="91" t="s">
        <v>1314</v>
      </c>
      <c r="S1052" s="75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</row>
    <row r="1053" spans="2:37" ht="16.2" x14ac:dyDescent="0.3">
      <c r="B1053" s="80">
        <v>1045</v>
      </c>
      <c r="C1053" s="84" t="s">
        <v>943</v>
      </c>
      <c r="D1053" s="82" t="s">
        <v>944</v>
      </c>
      <c r="E1053" s="83">
        <v>8741</v>
      </c>
      <c r="F1053" s="84" t="s">
        <v>16</v>
      </c>
      <c r="G1053" s="83" t="s">
        <v>161</v>
      </c>
      <c r="H1053" s="83" t="s">
        <v>14</v>
      </c>
      <c r="I1053" s="83" t="s">
        <v>21</v>
      </c>
      <c r="J1053" s="84">
        <v>100</v>
      </c>
      <c r="K1053" s="84"/>
      <c r="L1053" s="84" t="s">
        <v>12</v>
      </c>
      <c r="M1053" s="84" t="s">
        <v>112</v>
      </c>
      <c r="N1053" s="85">
        <v>45988</v>
      </c>
      <c r="O1053" s="86" t="s">
        <v>25</v>
      </c>
      <c r="P1053" s="97" t="s">
        <v>20</v>
      </c>
      <c r="Q1053" s="91">
        <v>997028183</v>
      </c>
      <c r="R1053" s="91"/>
      <c r="S1053" s="75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29"/>
      <c r="AH1053" s="29"/>
      <c r="AI1053" s="29"/>
      <c r="AJ1053" s="29"/>
      <c r="AK1053" s="29"/>
    </row>
    <row r="1054" spans="2:37" ht="16.2" x14ac:dyDescent="0.3">
      <c r="B1054" s="80">
        <v>1046</v>
      </c>
      <c r="C1054" s="84" t="s">
        <v>755</v>
      </c>
      <c r="D1054" s="82" t="s">
        <v>754</v>
      </c>
      <c r="E1054" s="83">
        <v>8743</v>
      </c>
      <c r="F1054" s="84" t="s">
        <v>28</v>
      </c>
      <c r="G1054" s="83" t="s">
        <v>22</v>
      </c>
      <c r="H1054" s="83" t="s">
        <v>14</v>
      </c>
      <c r="I1054" s="83" t="s">
        <v>21</v>
      </c>
      <c r="J1054" s="84">
        <v>50</v>
      </c>
      <c r="K1054" s="84"/>
      <c r="L1054" s="84" t="s">
        <v>12</v>
      </c>
      <c r="M1054" s="84" t="s">
        <v>88</v>
      </c>
      <c r="N1054" s="85">
        <v>45989</v>
      </c>
      <c r="O1054" s="86" t="s">
        <v>10</v>
      </c>
      <c r="P1054" s="97" t="s">
        <v>20</v>
      </c>
      <c r="Q1054" s="91">
        <v>852388881</v>
      </c>
      <c r="R1054" s="91"/>
      <c r="S1054" s="75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29"/>
      <c r="AH1054" s="29"/>
      <c r="AI1054" s="29"/>
      <c r="AJ1054" s="29"/>
      <c r="AK1054" s="29"/>
    </row>
    <row r="1055" spans="2:37" ht="16.2" x14ac:dyDescent="0.3">
      <c r="B1055" s="80">
        <v>1047</v>
      </c>
      <c r="C1055" s="84" t="s">
        <v>767</v>
      </c>
      <c r="D1055" s="82" t="s">
        <v>766</v>
      </c>
      <c r="E1055" s="83">
        <v>8744</v>
      </c>
      <c r="F1055" s="84" t="s">
        <v>28</v>
      </c>
      <c r="G1055" s="83" t="s">
        <v>133</v>
      </c>
      <c r="H1055" s="83" t="s">
        <v>14</v>
      </c>
      <c r="I1055" s="83" t="s">
        <v>13</v>
      </c>
      <c r="J1055" s="84">
        <v>40</v>
      </c>
      <c r="K1055" s="84"/>
      <c r="L1055" s="84" t="s">
        <v>12</v>
      </c>
      <c r="M1055" s="84" t="s">
        <v>88</v>
      </c>
      <c r="N1055" s="85">
        <v>45989</v>
      </c>
      <c r="O1055" s="86" t="s">
        <v>10</v>
      </c>
      <c r="P1055" s="97" t="s">
        <v>9</v>
      </c>
      <c r="Q1055" s="91">
        <v>813002370</v>
      </c>
      <c r="R1055" s="91"/>
      <c r="S1055" s="75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29"/>
      <c r="AH1055" s="29"/>
      <c r="AI1055" s="29"/>
      <c r="AJ1055" s="29"/>
      <c r="AK1055" s="29"/>
    </row>
    <row r="1056" spans="2:37" ht="16.2" x14ac:dyDescent="0.3">
      <c r="B1056" s="80">
        <v>1048</v>
      </c>
      <c r="C1056" s="84" t="s">
        <v>551</v>
      </c>
      <c r="D1056" s="82" t="s">
        <v>550</v>
      </c>
      <c r="E1056" s="83">
        <v>8745</v>
      </c>
      <c r="F1056" s="84" t="s">
        <v>16</v>
      </c>
      <c r="G1056" s="84" t="s">
        <v>15</v>
      </c>
      <c r="H1056" s="83" t="s">
        <v>14</v>
      </c>
      <c r="I1056" s="83" t="s">
        <v>1059</v>
      </c>
      <c r="J1056" s="84">
        <v>23.26</v>
      </c>
      <c r="K1056" s="84"/>
      <c r="L1056" s="84" t="s">
        <v>12</v>
      </c>
      <c r="M1056" s="84" t="s">
        <v>88</v>
      </c>
      <c r="N1056" s="85">
        <v>45989</v>
      </c>
      <c r="O1056" s="86" t="s">
        <v>10</v>
      </c>
      <c r="P1056" s="97" t="s">
        <v>9</v>
      </c>
      <c r="Q1056" s="91">
        <v>998830769</v>
      </c>
      <c r="R1056" s="91"/>
      <c r="S1056" s="75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29"/>
      <c r="AH1056" s="29"/>
      <c r="AI1056" s="29"/>
      <c r="AJ1056" s="29"/>
      <c r="AK1056" s="29"/>
    </row>
    <row r="1057" spans="2:37" ht="16.2" x14ac:dyDescent="0.3">
      <c r="B1057" s="80">
        <v>1049</v>
      </c>
      <c r="C1057" s="84" t="s">
        <v>555</v>
      </c>
      <c r="D1057" s="82" t="s">
        <v>554</v>
      </c>
      <c r="E1057" s="83">
        <v>8746</v>
      </c>
      <c r="F1057" s="84" t="s">
        <v>28</v>
      </c>
      <c r="G1057" s="83" t="s">
        <v>133</v>
      </c>
      <c r="H1057" s="83" t="s">
        <v>14</v>
      </c>
      <c r="I1057" s="83" t="s">
        <v>281</v>
      </c>
      <c r="J1057" s="84">
        <v>20</v>
      </c>
      <c r="K1057" s="84"/>
      <c r="L1057" s="84" t="s">
        <v>12</v>
      </c>
      <c r="M1057" s="84" t="s">
        <v>88</v>
      </c>
      <c r="N1057" s="85">
        <v>45989</v>
      </c>
      <c r="O1057" s="86" t="s">
        <v>10</v>
      </c>
      <c r="P1057" s="97" t="s">
        <v>9</v>
      </c>
      <c r="Q1057" s="91">
        <v>998830769</v>
      </c>
      <c r="R1057" s="91"/>
      <c r="S1057" s="75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29"/>
      <c r="AH1057" s="29"/>
      <c r="AI1057" s="29"/>
      <c r="AJ1057" s="29"/>
      <c r="AK1057" s="29"/>
    </row>
    <row r="1058" spans="2:37" ht="16.2" x14ac:dyDescent="0.3">
      <c r="B1058" s="80">
        <v>1050</v>
      </c>
      <c r="C1058" s="84" t="s">
        <v>906</v>
      </c>
      <c r="D1058" s="82" t="s">
        <v>907</v>
      </c>
      <c r="E1058" s="109">
        <v>8747</v>
      </c>
      <c r="F1058" s="83" t="s">
        <v>28</v>
      </c>
      <c r="G1058" s="83" t="s">
        <v>22</v>
      </c>
      <c r="H1058" s="83" t="s">
        <v>14</v>
      </c>
      <c r="I1058" s="83" t="s">
        <v>281</v>
      </c>
      <c r="J1058" s="83">
        <v>20</v>
      </c>
      <c r="K1058" s="84"/>
      <c r="L1058" s="83" t="s">
        <v>12</v>
      </c>
      <c r="M1058" s="83" t="s">
        <v>88</v>
      </c>
      <c r="N1058" s="85">
        <v>45989</v>
      </c>
      <c r="O1058" s="86" t="s">
        <v>10</v>
      </c>
      <c r="P1058" s="85" t="s">
        <v>20</v>
      </c>
      <c r="Q1058" s="91"/>
      <c r="R1058" s="87"/>
      <c r="S1058" s="75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29"/>
      <c r="AH1058" s="29"/>
      <c r="AI1058" s="29"/>
      <c r="AJ1058" s="29"/>
      <c r="AK1058" s="29"/>
    </row>
    <row r="1059" spans="2:37" ht="16.2" x14ac:dyDescent="0.3">
      <c r="B1059" s="80">
        <v>1051</v>
      </c>
      <c r="C1059" s="84" t="s">
        <v>920</v>
      </c>
      <c r="D1059" s="82" t="s">
        <v>921</v>
      </c>
      <c r="E1059" s="83">
        <v>8748</v>
      </c>
      <c r="F1059" s="83" t="s">
        <v>16</v>
      </c>
      <c r="G1059" s="83" t="s">
        <v>150</v>
      </c>
      <c r="H1059" s="83" t="s">
        <v>14</v>
      </c>
      <c r="I1059" s="83" t="s">
        <v>281</v>
      </c>
      <c r="J1059" s="83">
        <v>10</v>
      </c>
      <c r="K1059" s="84"/>
      <c r="L1059" s="83" t="s">
        <v>12</v>
      </c>
      <c r="M1059" s="83" t="s">
        <v>88</v>
      </c>
      <c r="N1059" s="85">
        <v>45989</v>
      </c>
      <c r="O1059" s="86" t="s">
        <v>10</v>
      </c>
      <c r="P1059" s="85" t="s">
        <v>20</v>
      </c>
      <c r="Q1059" s="91">
        <v>858849875</v>
      </c>
      <c r="R1059" s="87"/>
      <c r="S1059" s="75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29"/>
      <c r="AH1059" s="29"/>
      <c r="AI1059" s="29"/>
      <c r="AJ1059" s="29"/>
      <c r="AK1059" s="29"/>
    </row>
    <row r="1060" spans="2:37" ht="16.2" x14ac:dyDescent="0.3">
      <c r="B1060" s="80">
        <v>1052</v>
      </c>
      <c r="C1060" s="84" t="s">
        <v>1093</v>
      </c>
      <c r="D1060" s="82" t="s">
        <v>1094</v>
      </c>
      <c r="E1060" s="83">
        <v>8749</v>
      </c>
      <c r="F1060" s="83" t="s">
        <v>28</v>
      </c>
      <c r="G1060" s="83" t="s">
        <v>37</v>
      </c>
      <c r="H1060" s="83" t="s">
        <v>14</v>
      </c>
      <c r="I1060" s="83" t="s">
        <v>21</v>
      </c>
      <c r="J1060" s="83">
        <v>45</v>
      </c>
      <c r="K1060" s="84"/>
      <c r="L1060" s="83" t="s">
        <v>26</v>
      </c>
      <c r="M1060" s="83" t="s">
        <v>88</v>
      </c>
      <c r="N1060" s="85">
        <v>45989</v>
      </c>
      <c r="O1060" s="86" t="s">
        <v>10</v>
      </c>
      <c r="P1060" s="85" t="s">
        <v>20</v>
      </c>
      <c r="Q1060" s="91">
        <v>996664057</v>
      </c>
      <c r="R1060" s="87"/>
      <c r="S1060" s="75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29"/>
      <c r="AH1060" s="29"/>
      <c r="AI1060" s="29"/>
      <c r="AJ1060" s="29"/>
      <c r="AK1060" s="29"/>
    </row>
    <row r="1061" spans="2:37" ht="16.2" x14ac:dyDescent="0.3">
      <c r="B1061" s="80">
        <v>1053</v>
      </c>
      <c r="C1061" s="84" t="s">
        <v>1104</v>
      </c>
      <c r="D1061" s="82" t="s">
        <v>1105</v>
      </c>
      <c r="E1061" s="83">
        <v>8750</v>
      </c>
      <c r="F1061" s="84" t="s">
        <v>28</v>
      </c>
      <c r="G1061" s="83" t="s">
        <v>124</v>
      </c>
      <c r="H1061" s="83" t="s">
        <v>14</v>
      </c>
      <c r="I1061" s="83" t="s">
        <v>21</v>
      </c>
      <c r="J1061" s="84">
        <v>55</v>
      </c>
      <c r="K1061" s="84"/>
      <c r="L1061" s="84" t="s">
        <v>26</v>
      </c>
      <c r="M1061" s="84" t="s">
        <v>88</v>
      </c>
      <c r="N1061" s="85">
        <v>45989</v>
      </c>
      <c r="O1061" s="86" t="s">
        <v>10</v>
      </c>
      <c r="P1061" s="97" t="s">
        <v>20</v>
      </c>
      <c r="Q1061" s="91"/>
      <c r="R1061" s="91"/>
      <c r="S1061" s="75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29"/>
      <c r="AH1061" s="29"/>
      <c r="AI1061" s="29"/>
      <c r="AJ1061" s="29"/>
      <c r="AK1061" s="29"/>
    </row>
    <row r="1062" spans="2:37" ht="16.2" x14ac:dyDescent="0.3">
      <c r="B1062" s="80">
        <v>1054</v>
      </c>
      <c r="C1062" s="84" t="s">
        <v>1164</v>
      </c>
      <c r="D1062" s="82" t="s">
        <v>1165</v>
      </c>
      <c r="E1062" s="83">
        <v>8751</v>
      </c>
      <c r="F1062" s="84" t="s">
        <v>16</v>
      </c>
      <c r="G1062" s="83" t="s">
        <v>40</v>
      </c>
      <c r="H1062" s="83" t="s">
        <v>14</v>
      </c>
      <c r="I1062" s="83" t="s">
        <v>21</v>
      </c>
      <c r="J1062" s="84">
        <v>50</v>
      </c>
      <c r="K1062" s="84"/>
      <c r="L1062" s="84" t="s">
        <v>26</v>
      </c>
      <c r="M1062" s="84" t="s">
        <v>88</v>
      </c>
      <c r="N1062" s="85">
        <v>45989</v>
      </c>
      <c r="O1062" s="86" t="s">
        <v>10</v>
      </c>
      <c r="P1062" s="97" t="s">
        <v>0</v>
      </c>
      <c r="Q1062" s="91">
        <v>855491731</v>
      </c>
      <c r="R1062" s="91"/>
      <c r="S1062" s="75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29"/>
      <c r="AH1062" s="29"/>
      <c r="AI1062" s="29"/>
      <c r="AJ1062" s="29"/>
      <c r="AK1062" s="29"/>
    </row>
    <row r="1063" spans="2:37" ht="16.2" x14ac:dyDescent="0.3">
      <c r="B1063" s="80">
        <v>1055</v>
      </c>
      <c r="C1063" s="84" t="s">
        <v>570</v>
      </c>
      <c r="D1063" s="82" t="s">
        <v>569</v>
      </c>
      <c r="E1063" s="83">
        <v>7826</v>
      </c>
      <c r="F1063" s="84" t="s">
        <v>28</v>
      </c>
      <c r="G1063" s="83" t="s">
        <v>31</v>
      </c>
      <c r="H1063" s="83" t="s">
        <v>14</v>
      </c>
      <c r="I1063" s="83" t="s">
        <v>281</v>
      </c>
      <c r="J1063" s="84">
        <v>30</v>
      </c>
      <c r="K1063" s="84"/>
      <c r="L1063" s="84" t="s">
        <v>12</v>
      </c>
      <c r="M1063" s="84" t="s">
        <v>112</v>
      </c>
      <c r="N1063" s="85">
        <v>45819</v>
      </c>
      <c r="O1063" s="86" t="s">
        <v>10</v>
      </c>
      <c r="P1063" s="97" t="s">
        <v>20</v>
      </c>
      <c r="Q1063" s="91">
        <v>996858671</v>
      </c>
      <c r="R1063" s="91"/>
      <c r="S1063" s="75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29"/>
      <c r="AH1063" s="29"/>
      <c r="AI1063" s="29"/>
      <c r="AJ1063" s="29"/>
      <c r="AK1063" s="29"/>
    </row>
    <row r="1064" spans="2:37" ht="16.2" x14ac:dyDescent="0.3">
      <c r="B1064" s="80">
        <v>1056</v>
      </c>
      <c r="C1064" s="84" t="s">
        <v>1058</v>
      </c>
      <c r="D1064" s="82" t="s">
        <v>685</v>
      </c>
      <c r="E1064" s="83">
        <v>8752</v>
      </c>
      <c r="F1064" s="84" t="s">
        <v>16</v>
      </c>
      <c r="G1064" s="83" t="s">
        <v>174</v>
      </c>
      <c r="H1064" s="83" t="s">
        <v>14</v>
      </c>
      <c r="I1064" s="83" t="s">
        <v>21</v>
      </c>
      <c r="J1064" s="84">
        <v>100</v>
      </c>
      <c r="K1064" s="84"/>
      <c r="L1064" s="84" t="s">
        <v>26</v>
      </c>
      <c r="M1064" s="84" t="s">
        <v>60</v>
      </c>
      <c r="N1064" s="85">
        <v>45992</v>
      </c>
      <c r="O1064" s="86" t="s">
        <v>25</v>
      </c>
      <c r="P1064" s="97" t="s">
        <v>20</v>
      </c>
      <c r="Q1064" s="91"/>
      <c r="R1064" s="91"/>
      <c r="S1064" s="75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29"/>
      <c r="AH1064" s="29"/>
      <c r="AI1064" s="29"/>
      <c r="AJ1064" s="29"/>
      <c r="AK1064" s="29"/>
    </row>
    <row r="1065" spans="2:37" ht="16.2" x14ac:dyDescent="0.3">
      <c r="B1065" s="80">
        <v>1057</v>
      </c>
      <c r="C1065" s="84" t="s">
        <v>690</v>
      </c>
      <c r="D1065" s="82" t="s">
        <v>689</v>
      </c>
      <c r="E1065" s="83">
        <v>8753</v>
      </c>
      <c r="F1065" s="84" t="s">
        <v>28</v>
      </c>
      <c r="G1065" s="83" t="s">
        <v>53</v>
      </c>
      <c r="H1065" s="83" t="s">
        <v>14</v>
      </c>
      <c r="I1065" s="83" t="s">
        <v>21</v>
      </c>
      <c r="J1065" s="84">
        <v>45</v>
      </c>
      <c r="K1065" s="84"/>
      <c r="L1065" s="84" t="s">
        <v>26</v>
      </c>
      <c r="M1065" s="84" t="s">
        <v>60</v>
      </c>
      <c r="N1065" s="85">
        <v>45992</v>
      </c>
      <c r="O1065" s="86" t="s">
        <v>10</v>
      </c>
      <c r="P1065" s="97" t="s">
        <v>20</v>
      </c>
      <c r="Q1065" s="91">
        <v>982121790</v>
      </c>
      <c r="R1065" s="91"/>
      <c r="S1065" s="75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29"/>
      <c r="AH1065" s="29"/>
      <c r="AI1065" s="29"/>
      <c r="AJ1065" s="29"/>
      <c r="AK1065" s="29"/>
    </row>
    <row r="1066" spans="2:37" ht="16.2" x14ac:dyDescent="0.3">
      <c r="B1066" s="80">
        <v>1058</v>
      </c>
      <c r="C1066" s="84" t="s">
        <v>881</v>
      </c>
      <c r="D1066" s="82" t="s">
        <v>882</v>
      </c>
      <c r="E1066" s="83">
        <v>8754</v>
      </c>
      <c r="F1066" s="84" t="s">
        <v>16</v>
      </c>
      <c r="G1066" s="83" t="s">
        <v>15</v>
      </c>
      <c r="H1066" s="83" t="s">
        <v>14</v>
      </c>
      <c r="I1066" s="83" t="s">
        <v>13</v>
      </c>
      <c r="J1066" s="84">
        <v>40</v>
      </c>
      <c r="K1066" s="84"/>
      <c r="L1066" s="84" t="s">
        <v>12</v>
      </c>
      <c r="M1066" s="84" t="s">
        <v>60</v>
      </c>
      <c r="N1066" s="85">
        <v>45992</v>
      </c>
      <c r="O1066" s="86" t="s">
        <v>10</v>
      </c>
      <c r="P1066" s="97" t="s">
        <v>9</v>
      </c>
      <c r="Q1066" s="91" t="s">
        <v>883</v>
      </c>
      <c r="R1066" s="91"/>
      <c r="S1066" s="75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29"/>
      <c r="AH1066" s="29"/>
      <c r="AI1066" s="29"/>
      <c r="AJ1066" s="29"/>
      <c r="AK1066" s="29"/>
    </row>
    <row r="1067" spans="2:37" ht="16.2" x14ac:dyDescent="0.3">
      <c r="B1067" s="80">
        <v>1059</v>
      </c>
      <c r="C1067" s="84" t="s">
        <v>1317</v>
      </c>
      <c r="D1067" s="82" t="s">
        <v>1318</v>
      </c>
      <c r="E1067" s="83">
        <v>8755</v>
      </c>
      <c r="F1067" s="83" t="s">
        <v>28</v>
      </c>
      <c r="G1067" s="84" t="s">
        <v>50</v>
      </c>
      <c r="H1067" s="83" t="s">
        <v>14</v>
      </c>
      <c r="I1067" s="83" t="s">
        <v>19</v>
      </c>
      <c r="J1067" s="83">
        <v>40</v>
      </c>
      <c r="K1067" s="84"/>
      <c r="L1067" s="83" t="s">
        <v>12</v>
      </c>
      <c r="M1067" s="83" t="s">
        <v>60</v>
      </c>
      <c r="N1067" s="85">
        <v>45992</v>
      </c>
      <c r="O1067" s="86" t="s">
        <v>10</v>
      </c>
      <c r="P1067" s="85" t="s">
        <v>9</v>
      </c>
      <c r="Q1067" s="91">
        <v>974500668</v>
      </c>
      <c r="R1067" s="87"/>
      <c r="S1067" s="75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29"/>
      <c r="AH1067" s="29"/>
      <c r="AI1067" s="29"/>
      <c r="AJ1067" s="29"/>
      <c r="AK1067" s="29"/>
    </row>
    <row r="1068" spans="2:37" ht="16.2" x14ac:dyDescent="0.3">
      <c r="B1068" s="80">
        <v>1060</v>
      </c>
      <c r="C1068" s="84" t="s">
        <v>1317</v>
      </c>
      <c r="D1068" s="82" t="s">
        <v>1318</v>
      </c>
      <c r="E1068" s="83">
        <v>8756</v>
      </c>
      <c r="F1068" s="83" t="s">
        <v>28</v>
      </c>
      <c r="G1068" s="83" t="s">
        <v>50</v>
      </c>
      <c r="H1068" s="83" t="s">
        <v>14</v>
      </c>
      <c r="I1068" s="83" t="s">
        <v>13</v>
      </c>
      <c r="J1068" s="83">
        <v>40</v>
      </c>
      <c r="K1068" s="84"/>
      <c r="L1068" s="83" t="s">
        <v>12</v>
      </c>
      <c r="M1068" s="83" t="s">
        <v>60</v>
      </c>
      <c r="N1068" s="85">
        <v>45992</v>
      </c>
      <c r="O1068" s="86" t="s">
        <v>10</v>
      </c>
      <c r="P1068" s="85" t="s">
        <v>9</v>
      </c>
      <c r="Q1068" s="91">
        <v>974500668</v>
      </c>
      <c r="R1068" s="87"/>
      <c r="S1068" s="75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29"/>
      <c r="AH1068" s="29"/>
      <c r="AI1068" s="29"/>
      <c r="AJ1068" s="29"/>
      <c r="AK1068" s="29"/>
    </row>
    <row r="1069" spans="2:37" ht="16.2" x14ac:dyDescent="0.3">
      <c r="B1069" s="80">
        <v>1061</v>
      </c>
      <c r="C1069" s="84" t="s">
        <v>121</v>
      </c>
      <c r="D1069" s="82" t="s">
        <v>120</v>
      </c>
      <c r="E1069" s="83">
        <v>8757</v>
      </c>
      <c r="F1069" s="83" t="s">
        <v>28</v>
      </c>
      <c r="G1069" s="83" t="s">
        <v>100</v>
      </c>
      <c r="H1069" s="83" t="s">
        <v>14</v>
      </c>
      <c r="I1069" s="83" t="s">
        <v>281</v>
      </c>
      <c r="J1069" s="83">
        <v>30</v>
      </c>
      <c r="K1069" s="84"/>
      <c r="L1069" s="83" t="s">
        <v>12</v>
      </c>
      <c r="M1069" s="83" t="s">
        <v>60</v>
      </c>
      <c r="N1069" s="85">
        <v>45992</v>
      </c>
      <c r="O1069" s="86" t="s">
        <v>10</v>
      </c>
      <c r="P1069" s="85" t="s">
        <v>20</v>
      </c>
      <c r="Q1069" s="91">
        <v>974500668</v>
      </c>
      <c r="R1069" s="87"/>
      <c r="S1069" s="75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29"/>
      <c r="AH1069" s="29"/>
      <c r="AI1069" s="29"/>
      <c r="AJ1069" s="29"/>
      <c r="AK1069" s="29"/>
    </row>
    <row r="1070" spans="2:37" ht="16.2" x14ac:dyDescent="0.3">
      <c r="B1070" s="80">
        <v>1062</v>
      </c>
      <c r="C1070" s="84" t="s">
        <v>1051</v>
      </c>
      <c r="D1070" s="82" t="s">
        <v>1052</v>
      </c>
      <c r="E1070" s="83">
        <v>8758</v>
      </c>
      <c r="F1070" s="84" t="s">
        <v>16</v>
      </c>
      <c r="G1070" s="84" t="s">
        <v>1053</v>
      </c>
      <c r="H1070" s="84" t="s">
        <v>14</v>
      </c>
      <c r="I1070" s="84" t="s">
        <v>21</v>
      </c>
      <c r="J1070" s="84">
        <v>45</v>
      </c>
      <c r="K1070" s="84"/>
      <c r="L1070" s="84" t="s">
        <v>26</v>
      </c>
      <c r="M1070" s="84" t="s">
        <v>60</v>
      </c>
      <c r="N1070" s="85">
        <v>45992</v>
      </c>
      <c r="O1070" s="86" t="s">
        <v>10</v>
      </c>
      <c r="P1070" s="97" t="s">
        <v>20</v>
      </c>
      <c r="Q1070" s="91"/>
      <c r="R1070" s="91"/>
      <c r="S1070" s="75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29"/>
      <c r="AH1070" s="29"/>
      <c r="AI1070" s="29"/>
      <c r="AJ1070" s="29"/>
      <c r="AK1070" s="29"/>
    </row>
    <row r="1071" spans="2:37" ht="16.2" x14ac:dyDescent="0.3">
      <c r="B1071" s="80">
        <v>1063</v>
      </c>
      <c r="C1071" s="84" t="s">
        <v>733</v>
      </c>
      <c r="D1071" s="82" t="s">
        <v>732</v>
      </c>
      <c r="E1071" s="83">
        <v>8759</v>
      </c>
      <c r="F1071" s="84" t="s">
        <v>28</v>
      </c>
      <c r="G1071" s="84" t="s">
        <v>106</v>
      </c>
      <c r="H1071" s="84" t="s">
        <v>14</v>
      </c>
      <c r="I1071" s="84" t="s">
        <v>21</v>
      </c>
      <c r="J1071" s="84">
        <v>60</v>
      </c>
      <c r="K1071" s="84"/>
      <c r="L1071" s="84" t="s">
        <v>12</v>
      </c>
      <c r="M1071" s="84" t="s">
        <v>60</v>
      </c>
      <c r="N1071" s="85">
        <v>45992</v>
      </c>
      <c r="O1071" s="86" t="s">
        <v>25</v>
      </c>
      <c r="P1071" s="97" t="s">
        <v>20</v>
      </c>
      <c r="Q1071" s="91">
        <v>996977963</v>
      </c>
      <c r="R1071" s="91"/>
      <c r="S1071" s="75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29"/>
      <c r="AH1071" s="29"/>
      <c r="AI1071" s="29"/>
      <c r="AJ1071" s="29"/>
      <c r="AK1071" s="29"/>
    </row>
    <row r="1072" spans="2:37" ht="16.2" x14ac:dyDescent="0.3">
      <c r="B1072" s="80">
        <v>1064</v>
      </c>
      <c r="C1072" s="84" t="s">
        <v>733</v>
      </c>
      <c r="D1072" s="82" t="s">
        <v>732</v>
      </c>
      <c r="E1072" s="83">
        <v>8760</v>
      </c>
      <c r="F1072" s="84" t="s">
        <v>28</v>
      </c>
      <c r="G1072" s="84" t="s">
        <v>106</v>
      </c>
      <c r="H1072" s="84" t="s">
        <v>14</v>
      </c>
      <c r="I1072" s="84" t="s">
        <v>93</v>
      </c>
      <c r="J1072" s="84">
        <v>60</v>
      </c>
      <c r="K1072" s="84"/>
      <c r="L1072" s="84" t="s">
        <v>12</v>
      </c>
      <c r="M1072" s="84" t="s">
        <v>60</v>
      </c>
      <c r="N1072" s="85">
        <v>45992</v>
      </c>
      <c r="O1072" s="86" t="s">
        <v>25</v>
      </c>
      <c r="P1072" s="97" t="s">
        <v>20</v>
      </c>
      <c r="Q1072" s="91">
        <v>996977963</v>
      </c>
      <c r="R1072" s="91"/>
      <c r="S1072" s="75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29"/>
      <c r="AH1072" s="29"/>
      <c r="AI1072" s="29"/>
      <c r="AJ1072" s="29"/>
      <c r="AK1072" s="29"/>
    </row>
    <row r="1073" spans="2:37" ht="16.2" x14ac:dyDescent="0.3">
      <c r="B1073" s="80">
        <v>1065</v>
      </c>
      <c r="C1073" s="84" t="s">
        <v>731</v>
      </c>
      <c r="D1073" s="82" t="s">
        <v>730</v>
      </c>
      <c r="E1073" s="83">
        <v>8761</v>
      </c>
      <c r="F1073" s="84" t="s">
        <v>28</v>
      </c>
      <c r="G1073" s="84" t="s">
        <v>22</v>
      </c>
      <c r="H1073" s="84" t="s">
        <v>14</v>
      </c>
      <c r="I1073" s="84" t="s">
        <v>21</v>
      </c>
      <c r="J1073" s="84">
        <v>40</v>
      </c>
      <c r="K1073" s="84"/>
      <c r="L1073" s="84" t="s">
        <v>26</v>
      </c>
      <c r="M1073" s="84" t="s">
        <v>60</v>
      </c>
      <c r="N1073" s="85">
        <v>45992</v>
      </c>
      <c r="O1073" s="86" t="s">
        <v>10</v>
      </c>
      <c r="P1073" s="97" t="s">
        <v>20</v>
      </c>
      <c r="Q1073" s="91">
        <v>996977963</v>
      </c>
      <c r="R1073" s="91"/>
      <c r="S1073" s="75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29"/>
      <c r="AH1073" s="29"/>
      <c r="AI1073" s="29"/>
      <c r="AJ1073" s="29"/>
      <c r="AK1073" s="29"/>
    </row>
    <row r="1074" spans="2:37" ht="16.2" x14ac:dyDescent="0.3">
      <c r="B1074" s="80">
        <v>1066</v>
      </c>
      <c r="C1074" s="84" t="s">
        <v>731</v>
      </c>
      <c r="D1074" s="82" t="s">
        <v>730</v>
      </c>
      <c r="E1074" s="83">
        <v>8762</v>
      </c>
      <c r="F1074" s="83" t="s">
        <v>28</v>
      </c>
      <c r="G1074" s="83" t="s">
        <v>22</v>
      </c>
      <c r="H1074" s="83" t="s">
        <v>14</v>
      </c>
      <c r="I1074" s="83" t="s">
        <v>93</v>
      </c>
      <c r="J1074" s="83">
        <v>40</v>
      </c>
      <c r="K1074" s="84"/>
      <c r="L1074" s="83" t="s">
        <v>26</v>
      </c>
      <c r="M1074" s="83" t="s">
        <v>60</v>
      </c>
      <c r="N1074" s="85">
        <v>45992</v>
      </c>
      <c r="O1074" s="86" t="s">
        <v>10</v>
      </c>
      <c r="P1074" s="85" t="s">
        <v>20</v>
      </c>
      <c r="Q1074" s="91">
        <v>996977963</v>
      </c>
      <c r="R1074" s="87"/>
      <c r="S1074" s="75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29"/>
      <c r="AH1074" s="29"/>
      <c r="AI1074" s="29"/>
      <c r="AJ1074" s="29"/>
      <c r="AK1074" s="29"/>
    </row>
    <row r="1075" spans="2:37" ht="16.2" x14ac:dyDescent="0.3">
      <c r="B1075" s="80">
        <v>1067</v>
      </c>
      <c r="C1075" s="84" t="s">
        <v>955</v>
      </c>
      <c r="D1075" s="82" t="s">
        <v>956</v>
      </c>
      <c r="E1075" s="83">
        <v>8763</v>
      </c>
      <c r="F1075" s="84" t="s">
        <v>28</v>
      </c>
      <c r="G1075" s="84" t="s">
        <v>77</v>
      </c>
      <c r="H1075" s="84" t="s">
        <v>14</v>
      </c>
      <c r="I1075" s="84" t="s">
        <v>93</v>
      </c>
      <c r="J1075" s="84">
        <v>40</v>
      </c>
      <c r="K1075" s="84"/>
      <c r="L1075" s="84" t="s">
        <v>12</v>
      </c>
      <c r="M1075" s="84" t="s">
        <v>60</v>
      </c>
      <c r="N1075" s="85">
        <v>45992</v>
      </c>
      <c r="O1075" s="86" t="s">
        <v>25</v>
      </c>
      <c r="P1075" s="97" t="s">
        <v>0</v>
      </c>
      <c r="Q1075" s="91">
        <v>974451122</v>
      </c>
      <c r="R1075" s="91"/>
      <c r="S1075" s="75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29"/>
      <c r="AH1075" s="29"/>
      <c r="AI1075" s="29"/>
      <c r="AJ1075" s="29"/>
      <c r="AK1075" s="29"/>
    </row>
    <row r="1076" spans="2:37" ht="16.2" x14ac:dyDescent="0.3">
      <c r="B1076" s="80">
        <v>1068</v>
      </c>
      <c r="C1076" s="84" t="s">
        <v>1319</v>
      </c>
      <c r="D1076" s="82" t="s">
        <v>1320</v>
      </c>
      <c r="E1076" s="83">
        <v>8764</v>
      </c>
      <c r="F1076" s="84" t="s">
        <v>28</v>
      </c>
      <c r="G1076" s="83" t="s">
        <v>161</v>
      </c>
      <c r="H1076" s="83" t="s">
        <v>14</v>
      </c>
      <c r="I1076" s="83" t="s">
        <v>13</v>
      </c>
      <c r="J1076" s="84">
        <v>80</v>
      </c>
      <c r="K1076" s="84"/>
      <c r="L1076" s="84" t="s">
        <v>26</v>
      </c>
      <c r="M1076" s="84" t="s">
        <v>60</v>
      </c>
      <c r="N1076" s="85">
        <v>45992</v>
      </c>
      <c r="O1076" s="86" t="s">
        <v>25</v>
      </c>
      <c r="P1076" s="97" t="s">
        <v>20</v>
      </c>
      <c r="Q1076" s="91">
        <v>243993839422</v>
      </c>
      <c r="R1076" s="91"/>
      <c r="S1076" s="75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29"/>
      <c r="AH1076" s="29"/>
      <c r="AI1076" s="29"/>
      <c r="AJ1076" s="29"/>
      <c r="AK1076" s="29"/>
    </row>
    <row r="1077" spans="2:37" ht="16.2" x14ac:dyDescent="0.3">
      <c r="B1077" s="80">
        <v>1069</v>
      </c>
      <c r="C1077" s="84" t="s">
        <v>737</v>
      </c>
      <c r="D1077" s="82" t="s">
        <v>736</v>
      </c>
      <c r="E1077" s="83">
        <v>8765</v>
      </c>
      <c r="F1077" s="83" t="s">
        <v>16</v>
      </c>
      <c r="G1077" s="84" t="s">
        <v>22</v>
      </c>
      <c r="H1077" s="83" t="s">
        <v>14</v>
      </c>
      <c r="I1077" s="83" t="s">
        <v>93</v>
      </c>
      <c r="J1077" s="83">
        <v>40</v>
      </c>
      <c r="K1077" s="83"/>
      <c r="L1077" s="83" t="s">
        <v>12</v>
      </c>
      <c r="M1077" s="83" t="s">
        <v>60</v>
      </c>
      <c r="N1077" s="85">
        <v>45992</v>
      </c>
      <c r="O1077" s="86" t="s">
        <v>10</v>
      </c>
      <c r="P1077" s="85" t="s">
        <v>20</v>
      </c>
      <c r="Q1077" s="91">
        <v>897397461</v>
      </c>
      <c r="R1077" s="87"/>
      <c r="S1077" s="75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29"/>
      <c r="AH1077" s="29"/>
      <c r="AI1077" s="29"/>
      <c r="AJ1077" s="29"/>
      <c r="AK1077" s="29"/>
    </row>
    <row r="1078" spans="2:37" ht="16.2" x14ac:dyDescent="0.3">
      <c r="B1078" s="80">
        <v>1070</v>
      </c>
      <c r="C1078" s="84" t="s">
        <v>735</v>
      </c>
      <c r="D1078" s="82" t="s">
        <v>734</v>
      </c>
      <c r="E1078" s="83">
        <v>8766</v>
      </c>
      <c r="F1078" s="84" t="s">
        <v>16</v>
      </c>
      <c r="G1078" s="84" t="s">
        <v>22</v>
      </c>
      <c r="H1078" s="84" t="s">
        <v>14</v>
      </c>
      <c r="I1078" s="84" t="s">
        <v>93</v>
      </c>
      <c r="J1078" s="84">
        <v>35</v>
      </c>
      <c r="K1078" s="84"/>
      <c r="L1078" s="84" t="s">
        <v>12</v>
      </c>
      <c r="M1078" s="84" t="s">
        <v>60</v>
      </c>
      <c r="N1078" s="85">
        <v>45992</v>
      </c>
      <c r="O1078" s="86" t="s">
        <v>10</v>
      </c>
      <c r="P1078" s="97" t="s">
        <v>20</v>
      </c>
      <c r="Q1078" s="91">
        <v>897397461</v>
      </c>
      <c r="R1078" s="91"/>
      <c r="S1078" s="75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29"/>
      <c r="AH1078" s="29"/>
      <c r="AI1078" s="29"/>
      <c r="AJ1078" s="29"/>
      <c r="AK1078" s="29"/>
    </row>
    <row r="1079" spans="2:37" ht="16.2" x14ac:dyDescent="0.3">
      <c r="B1079" s="80">
        <v>1071</v>
      </c>
      <c r="C1079" s="84" t="s">
        <v>1089</v>
      </c>
      <c r="D1079" s="82" t="s">
        <v>1090</v>
      </c>
      <c r="E1079" s="83">
        <v>8767</v>
      </c>
      <c r="F1079" s="83" t="s">
        <v>28</v>
      </c>
      <c r="G1079" s="83" t="s">
        <v>133</v>
      </c>
      <c r="H1079" s="83" t="s">
        <v>14</v>
      </c>
      <c r="I1079" s="83" t="s">
        <v>21</v>
      </c>
      <c r="J1079" s="83">
        <v>40</v>
      </c>
      <c r="K1079" s="83"/>
      <c r="L1079" s="83" t="s">
        <v>26</v>
      </c>
      <c r="M1079" s="83" t="s">
        <v>60</v>
      </c>
      <c r="N1079" s="85">
        <v>45992</v>
      </c>
      <c r="O1079" s="86" t="s">
        <v>10</v>
      </c>
      <c r="P1079" s="85" t="s">
        <v>9</v>
      </c>
      <c r="Q1079" s="91">
        <v>810355324</v>
      </c>
      <c r="R1079" s="87"/>
      <c r="S1079" s="75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29"/>
      <c r="AH1079" s="29"/>
      <c r="AI1079" s="29"/>
      <c r="AJ1079" s="29"/>
      <c r="AK1079" s="29"/>
    </row>
    <row r="1080" spans="2:37" ht="16.2" x14ac:dyDescent="0.3">
      <c r="B1080" s="80">
        <v>1072</v>
      </c>
      <c r="C1080" s="84" t="s">
        <v>372</v>
      </c>
      <c r="D1080" s="82" t="s">
        <v>371</v>
      </c>
      <c r="E1080" s="83">
        <v>8768</v>
      </c>
      <c r="F1080" s="83" t="s">
        <v>28</v>
      </c>
      <c r="G1080" s="83" t="s">
        <v>97</v>
      </c>
      <c r="H1080" s="83" t="s">
        <v>14</v>
      </c>
      <c r="I1080" s="83" t="s">
        <v>21</v>
      </c>
      <c r="J1080" s="83">
        <v>100</v>
      </c>
      <c r="K1080" s="83"/>
      <c r="L1080" s="83" t="s">
        <v>12</v>
      </c>
      <c r="M1080" s="83" t="s">
        <v>60</v>
      </c>
      <c r="N1080" s="85">
        <v>45992</v>
      </c>
      <c r="O1080" s="86" t="s">
        <v>25</v>
      </c>
      <c r="P1080" s="85" t="s">
        <v>20</v>
      </c>
      <c r="Q1080" s="91">
        <v>990953501</v>
      </c>
      <c r="R1080" s="87"/>
      <c r="S1080" s="75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29"/>
      <c r="AH1080" s="29"/>
      <c r="AI1080" s="29"/>
      <c r="AJ1080" s="29"/>
      <c r="AK1080" s="29"/>
    </row>
    <row r="1081" spans="2:37" ht="16.2" x14ac:dyDescent="0.3">
      <c r="B1081" s="80">
        <v>1073</v>
      </c>
      <c r="C1081" s="84" t="s">
        <v>370</v>
      </c>
      <c r="D1081" s="82" t="s">
        <v>369</v>
      </c>
      <c r="E1081" s="83">
        <v>8769</v>
      </c>
      <c r="F1081" s="83" t="s">
        <v>16</v>
      </c>
      <c r="G1081" s="83" t="s">
        <v>185</v>
      </c>
      <c r="H1081" s="83" t="s">
        <v>14</v>
      </c>
      <c r="I1081" s="83" t="s">
        <v>21</v>
      </c>
      <c r="J1081" s="83">
        <v>55</v>
      </c>
      <c r="K1081" s="83"/>
      <c r="L1081" s="83" t="s">
        <v>12</v>
      </c>
      <c r="M1081" s="83" t="s">
        <v>60</v>
      </c>
      <c r="N1081" s="85">
        <v>45992</v>
      </c>
      <c r="O1081" s="86" t="s">
        <v>25</v>
      </c>
      <c r="P1081" s="85" t="s">
        <v>20</v>
      </c>
      <c r="Q1081" s="91">
        <v>990953501</v>
      </c>
      <c r="R1081" s="87"/>
      <c r="S1081" s="75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29"/>
      <c r="AH1081" s="29"/>
      <c r="AI1081" s="29"/>
      <c r="AJ1081" s="29"/>
      <c r="AK1081" s="29"/>
    </row>
    <row r="1082" spans="2:37" ht="16.2" x14ac:dyDescent="0.3">
      <c r="B1082" s="80">
        <v>1074</v>
      </c>
      <c r="C1082" s="84" t="s">
        <v>368</v>
      </c>
      <c r="D1082" s="82" t="s">
        <v>367</v>
      </c>
      <c r="E1082" s="83">
        <v>8770</v>
      </c>
      <c r="F1082" s="83" t="s">
        <v>28</v>
      </c>
      <c r="G1082" s="83" t="s">
        <v>15</v>
      </c>
      <c r="H1082" s="83" t="s">
        <v>14</v>
      </c>
      <c r="I1082" s="83" t="s">
        <v>21</v>
      </c>
      <c r="J1082" s="83">
        <v>40</v>
      </c>
      <c r="K1082" s="83"/>
      <c r="L1082" s="83" t="s">
        <v>12</v>
      </c>
      <c r="M1082" s="83" t="s">
        <v>60</v>
      </c>
      <c r="N1082" s="85">
        <v>45992</v>
      </c>
      <c r="O1082" s="86" t="s">
        <v>10</v>
      </c>
      <c r="P1082" s="85" t="s">
        <v>9</v>
      </c>
      <c r="Q1082" s="91"/>
      <c r="R1082" s="87"/>
      <c r="S1082" s="75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29"/>
      <c r="AH1082" s="29"/>
      <c r="AI1082" s="29"/>
      <c r="AJ1082" s="29"/>
      <c r="AK1082" s="29"/>
    </row>
    <row r="1083" spans="2:37" ht="16.2" x14ac:dyDescent="0.3">
      <c r="B1083" s="80">
        <v>1075</v>
      </c>
      <c r="C1083" s="84" t="s">
        <v>355</v>
      </c>
      <c r="D1083" s="82" t="s">
        <v>354</v>
      </c>
      <c r="E1083" s="83">
        <v>8771</v>
      </c>
      <c r="F1083" s="83" t="s">
        <v>16</v>
      </c>
      <c r="G1083" s="83" t="s">
        <v>146</v>
      </c>
      <c r="H1083" s="83" t="s">
        <v>14</v>
      </c>
      <c r="I1083" s="83" t="s">
        <v>1059</v>
      </c>
      <c r="J1083" s="83">
        <v>20</v>
      </c>
      <c r="K1083" s="84"/>
      <c r="L1083" s="83" t="s">
        <v>12</v>
      </c>
      <c r="M1083" s="83" t="s">
        <v>60</v>
      </c>
      <c r="N1083" s="85">
        <v>45992</v>
      </c>
      <c r="O1083" s="86" t="s">
        <v>10</v>
      </c>
      <c r="P1083" s="85" t="s">
        <v>20</v>
      </c>
      <c r="Q1083" s="91">
        <v>810001139</v>
      </c>
      <c r="R1083" s="87" t="s">
        <v>1321</v>
      </c>
      <c r="S1083" s="75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29"/>
      <c r="AH1083" s="29"/>
      <c r="AI1083" s="29"/>
      <c r="AJ1083" s="29"/>
      <c r="AK1083" s="29"/>
    </row>
    <row r="1084" spans="2:37" ht="16.2" x14ac:dyDescent="0.3">
      <c r="B1084" s="80">
        <v>1076</v>
      </c>
      <c r="C1084" s="84" t="s">
        <v>353</v>
      </c>
      <c r="D1084" s="82" t="s">
        <v>352</v>
      </c>
      <c r="E1084" s="83">
        <v>8772</v>
      </c>
      <c r="F1084" s="83" t="s">
        <v>28</v>
      </c>
      <c r="G1084" s="83" t="s">
        <v>100</v>
      </c>
      <c r="H1084" s="83" t="s">
        <v>14</v>
      </c>
      <c r="I1084" s="83" t="s">
        <v>1059</v>
      </c>
      <c r="J1084" s="83">
        <v>20</v>
      </c>
      <c r="K1084" s="83"/>
      <c r="L1084" s="83" t="s">
        <v>12</v>
      </c>
      <c r="M1084" s="83" t="s">
        <v>60</v>
      </c>
      <c r="N1084" s="85">
        <v>45992</v>
      </c>
      <c r="O1084" s="86" t="s">
        <v>10</v>
      </c>
      <c r="P1084" s="85" t="s">
        <v>20</v>
      </c>
      <c r="Q1084" s="91">
        <v>810001139</v>
      </c>
      <c r="R1084" s="87" t="s">
        <v>1321</v>
      </c>
      <c r="S1084" s="75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29"/>
      <c r="AH1084" s="29"/>
      <c r="AI1084" s="29"/>
      <c r="AJ1084" s="29"/>
      <c r="AK1084" s="29"/>
    </row>
    <row r="1085" spans="2:37" ht="16.2" x14ac:dyDescent="0.3">
      <c r="B1085" s="80">
        <v>1077</v>
      </c>
      <c r="C1085" s="84" t="s">
        <v>908</v>
      </c>
      <c r="D1085" s="82" t="s">
        <v>909</v>
      </c>
      <c r="E1085" s="83">
        <v>8773</v>
      </c>
      <c r="F1085" s="83" t="s">
        <v>16</v>
      </c>
      <c r="G1085" s="84" t="s">
        <v>72</v>
      </c>
      <c r="H1085" s="83" t="s">
        <v>14</v>
      </c>
      <c r="I1085" s="83" t="s">
        <v>103</v>
      </c>
      <c r="J1085" s="83">
        <v>10</v>
      </c>
      <c r="K1085" s="83"/>
      <c r="L1085" s="83" t="s">
        <v>12</v>
      </c>
      <c r="M1085" s="83" t="s">
        <v>60</v>
      </c>
      <c r="N1085" s="85">
        <v>45992</v>
      </c>
      <c r="O1085" s="86" t="s">
        <v>25</v>
      </c>
      <c r="P1085" s="85" t="s">
        <v>20</v>
      </c>
      <c r="Q1085" s="91">
        <v>99708678</v>
      </c>
      <c r="R1085" s="87"/>
      <c r="S1085" s="75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29"/>
      <c r="AH1085" s="29"/>
      <c r="AI1085" s="29"/>
      <c r="AJ1085" s="29"/>
      <c r="AK1085" s="29"/>
    </row>
    <row r="1086" spans="2:37" ht="16.2" x14ac:dyDescent="0.3">
      <c r="B1086" s="80">
        <v>1078</v>
      </c>
      <c r="C1086" s="84" t="s">
        <v>908</v>
      </c>
      <c r="D1086" s="82" t="s">
        <v>909</v>
      </c>
      <c r="E1086" s="83">
        <v>8774</v>
      </c>
      <c r="F1086" s="83" t="s">
        <v>16</v>
      </c>
      <c r="G1086" s="84" t="s">
        <v>72</v>
      </c>
      <c r="H1086" s="83" t="s">
        <v>14</v>
      </c>
      <c r="I1086" s="83" t="s">
        <v>281</v>
      </c>
      <c r="J1086" s="83">
        <v>20</v>
      </c>
      <c r="K1086" s="83"/>
      <c r="L1086" s="83" t="s">
        <v>12</v>
      </c>
      <c r="M1086" s="83" t="s">
        <v>60</v>
      </c>
      <c r="N1086" s="85">
        <v>45992</v>
      </c>
      <c r="O1086" s="86" t="s">
        <v>25</v>
      </c>
      <c r="P1086" s="85" t="s">
        <v>20</v>
      </c>
      <c r="Q1086" s="91">
        <v>99708678</v>
      </c>
      <c r="R1086" s="87"/>
      <c r="S1086" s="75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29"/>
      <c r="AH1086" s="29"/>
      <c r="AI1086" s="29"/>
      <c r="AJ1086" s="29"/>
      <c r="AK1086" s="29"/>
    </row>
    <row r="1087" spans="2:37" ht="16.2" x14ac:dyDescent="0.3">
      <c r="B1087" s="80">
        <v>1079</v>
      </c>
      <c r="C1087" s="84" t="s">
        <v>1069</v>
      </c>
      <c r="D1087" s="82" t="s">
        <v>1070</v>
      </c>
      <c r="E1087" s="83">
        <v>8775</v>
      </c>
      <c r="F1087" s="84" t="s">
        <v>16</v>
      </c>
      <c r="G1087" s="84" t="s">
        <v>53</v>
      </c>
      <c r="H1087" s="84" t="s">
        <v>14</v>
      </c>
      <c r="I1087" s="84" t="s">
        <v>21</v>
      </c>
      <c r="J1087" s="84">
        <v>45</v>
      </c>
      <c r="K1087" s="84"/>
      <c r="L1087" s="84" t="s">
        <v>12</v>
      </c>
      <c r="M1087" s="84" t="s">
        <v>60</v>
      </c>
      <c r="N1087" s="85">
        <v>45992</v>
      </c>
      <c r="O1087" s="86" t="s">
        <v>10</v>
      </c>
      <c r="P1087" s="97" t="s">
        <v>20</v>
      </c>
      <c r="Q1087" s="91">
        <v>997927287</v>
      </c>
      <c r="R1087" s="91"/>
      <c r="S1087" s="75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</row>
    <row r="1088" spans="2:37" ht="16.2" x14ac:dyDescent="0.3">
      <c r="B1088" s="80">
        <v>1080</v>
      </c>
      <c r="C1088" s="84" t="s">
        <v>1071</v>
      </c>
      <c r="D1088" s="82" t="s">
        <v>1072</v>
      </c>
      <c r="E1088" s="83">
        <v>8776</v>
      </c>
      <c r="F1088" s="84" t="s">
        <v>28</v>
      </c>
      <c r="G1088" s="84" t="s">
        <v>133</v>
      </c>
      <c r="H1088" s="84" t="s">
        <v>14</v>
      </c>
      <c r="I1088" s="84" t="s">
        <v>21</v>
      </c>
      <c r="J1088" s="84">
        <v>40</v>
      </c>
      <c r="K1088" s="84"/>
      <c r="L1088" s="84" t="s">
        <v>12</v>
      </c>
      <c r="M1088" s="84" t="s">
        <v>60</v>
      </c>
      <c r="N1088" s="85">
        <v>45992</v>
      </c>
      <c r="O1088" s="86" t="s">
        <v>10</v>
      </c>
      <c r="P1088" s="97" t="s">
        <v>9</v>
      </c>
      <c r="Q1088" s="91"/>
      <c r="R1088" s="91"/>
      <c r="S1088" s="75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29"/>
      <c r="AH1088" s="29"/>
      <c r="AI1088" s="29"/>
      <c r="AJ1088" s="29"/>
      <c r="AK1088" s="29"/>
    </row>
    <row r="1089" spans="2:37" ht="16.2" x14ac:dyDescent="0.3">
      <c r="B1089" s="80">
        <v>1081</v>
      </c>
      <c r="C1089" s="84" t="s">
        <v>654</v>
      </c>
      <c r="D1089" s="82" t="s">
        <v>653</v>
      </c>
      <c r="E1089" s="83">
        <v>8777</v>
      </c>
      <c r="F1089" s="83" t="s">
        <v>16</v>
      </c>
      <c r="G1089" s="83" t="s">
        <v>40</v>
      </c>
      <c r="H1089" s="83" t="s">
        <v>14</v>
      </c>
      <c r="I1089" s="83" t="s">
        <v>1059</v>
      </c>
      <c r="J1089" s="83">
        <v>25</v>
      </c>
      <c r="K1089" s="83"/>
      <c r="L1089" s="83" t="s">
        <v>26</v>
      </c>
      <c r="M1089" s="83" t="s">
        <v>60</v>
      </c>
      <c r="N1089" s="85">
        <v>45992</v>
      </c>
      <c r="O1089" s="86" t="s">
        <v>10</v>
      </c>
      <c r="P1089" s="85" t="s">
        <v>0</v>
      </c>
      <c r="Q1089" s="91">
        <v>850299786</v>
      </c>
      <c r="R1089" s="87"/>
      <c r="S1089" s="75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29"/>
      <c r="AH1089" s="29"/>
      <c r="AI1089" s="29"/>
      <c r="AJ1089" s="29"/>
      <c r="AK1089" s="29"/>
    </row>
    <row r="1090" spans="2:37" ht="16.2" x14ac:dyDescent="0.3">
      <c r="B1090" s="80">
        <v>1082</v>
      </c>
      <c r="C1090" s="84" t="s">
        <v>656</v>
      </c>
      <c r="D1090" s="82" t="s">
        <v>655</v>
      </c>
      <c r="E1090" s="83">
        <v>8778</v>
      </c>
      <c r="F1090" s="84" t="s">
        <v>16</v>
      </c>
      <c r="G1090" s="84" t="s">
        <v>50</v>
      </c>
      <c r="H1090" s="84" t="s">
        <v>14</v>
      </c>
      <c r="I1090" s="84" t="s">
        <v>1059</v>
      </c>
      <c r="J1090" s="84">
        <v>5</v>
      </c>
      <c r="K1090" s="84"/>
      <c r="L1090" s="84" t="s">
        <v>26</v>
      </c>
      <c r="M1090" s="84" t="s">
        <v>60</v>
      </c>
      <c r="N1090" s="85">
        <v>45992</v>
      </c>
      <c r="O1090" s="86" t="s">
        <v>10</v>
      </c>
      <c r="P1090" s="97" t="s">
        <v>9</v>
      </c>
      <c r="Q1090" s="91" t="s">
        <v>1151</v>
      </c>
      <c r="R1090" s="91"/>
      <c r="S1090" s="75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29"/>
      <c r="AH1090" s="29"/>
      <c r="AI1090" s="29"/>
      <c r="AJ1090" s="29"/>
      <c r="AK1090" s="29"/>
    </row>
    <row r="1091" spans="2:37" ht="16.2" x14ac:dyDescent="0.3">
      <c r="B1091" s="80">
        <v>1083</v>
      </c>
      <c r="C1091" s="84" t="s">
        <v>979</v>
      </c>
      <c r="D1091" s="82" t="s">
        <v>980</v>
      </c>
      <c r="E1091" s="83">
        <v>8779</v>
      </c>
      <c r="F1091" s="83" t="s">
        <v>28</v>
      </c>
      <c r="G1091" s="84" t="s">
        <v>97</v>
      </c>
      <c r="H1091" s="83" t="s">
        <v>14</v>
      </c>
      <c r="I1091" s="83" t="s">
        <v>21</v>
      </c>
      <c r="J1091" s="83">
        <v>80</v>
      </c>
      <c r="K1091" s="83"/>
      <c r="L1091" s="83" t="s">
        <v>12</v>
      </c>
      <c r="M1091" s="83" t="s">
        <v>60</v>
      </c>
      <c r="N1091" s="85">
        <v>45992</v>
      </c>
      <c r="O1091" s="86" t="s">
        <v>25</v>
      </c>
      <c r="P1091" s="85" t="s">
        <v>20</v>
      </c>
      <c r="Q1091" s="91">
        <v>973453298</v>
      </c>
      <c r="R1091" s="87"/>
      <c r="S1091" s="75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29"/>
      <c r="AH1091" s="29"/>
      <c r="AI1091" s="29"/>
      <c r="AJ1091" s="29"/>
      <c r="AK1091" s="29"/>
    </row>
    <row r="1092" spans="2:37" ht="16.2" x14ac:dyDescent="0.3">
      <c r="B1092" s="80">
        <v>1084</v>
      </c>
      <c r="C1092" s="84" t="s">
        <v>953</v>
      </c>
      <c r="D1092" s="82" t="s">
        <v>954</v>
      </c>
      <c r="E1092" s="83">
        <v>8780</v>
      </c>
      <c r="F1092" s="83" t="s">
        <v>28</v>
      </c>
      <c r="G1092" s="83" t="s">
        <v>37</v>
      </c>
      <c r="H1092" s="83" t="s">
        <v>14</v>
      </c>
      <c r="I1092" s="83" t="s">
        <v>1059</v>
      </c>
      <c r="J1092" s="83">
        <v>10</v>
      </c>
      <c r="K1092" s="83"/>
      <c r="L1092" s="83" t="s">
        <v>12</v>
      </c>
      <c r="M1092" s="83" t="s">
        <v>60</v>
      </c>
      <c r="N1092" s="85">
        <v>45992</v>
      </c>
      <c r="O1092" s="86" t="s">
        <v>10</v>
      </c>
      <c r="P1092" s="85" t="s">
        <v>20</v>
      </c>
      <c r="Q1092" s="91">
        <v>973453298</v>
      </c>
      <c r="R1092" s="87"/>
      <c r="S1092" s="75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29"/>
      <c r="AH1092" s="29"/>
      <c r="AI1092" s="29"/>
      <c r="AJ1092" s="29"/>
      <c r="AK1092" s="29"/>
    </row>
    <row r="1093" spans="2:37" ht="16.2" x14ac:dyDescent="0.3">
      <c r="B1093" s="80">
        <v>1085</v>
      </c>
      <c r="C1093" s="84" t="s">
        <v>953</v>
      </c>
      <c r="D1093" s="82" t="s">
        <v>954</v>
      </c>
      <c r="E1093" s="83">
        <v>8781</v>
      </c>
      <c r="F1093" s="83" t="s">
        <v>28</v>
      </c>
      <c r="G1093" s="83" t="s">
        <v>37</v>
      </c>
      <c r="H1093" s="83" t="s">
        <v>14</v>
      </c>
      <c r="I1093" s="83" t="s">
        <v>21</v>
      </c>
      <c r="J1093" s="83">
        <v>40</v>
      </c>
      <c r="K1093" s="83"/>
      <c r="L1093" s="83" t="s">
        <v>12</v>
      </c>
      <c r="M1093" s="83" t="s">
        <v>60</v>
      </c>
      <c r="N1093" s="85">
        <v>45992</v>
      </c>
      <c r="O1093" s="86" t="s">
        <v>10</v>
      </c>
      <c r="P1093" s="85" t="s">
        <v>20</v>
      </c>
      <c r="Q1093" s="91">
        <v>973453298</v>
      </c>
      <c r="R1093" s="87"/>
      <c r="S1093" s="75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29"/>
      <c r="AH1093" s="29"/>
      <c r="AI1093" s="29"/>
      <c r="AJ1093" s="29"/>
      <c r="AK1093" s="29"/>
    </row>
    <row r="1094" spans="2:37" ht="16.2" x14ac:dyDescent="0.3">
      <c r="B1094" s="80">
        <v>1086</v>
      </c>
      <c r="C1094" s="84" t="s">
        <v>205</v>
      </c>
      <c r="D1094" s="82" t="s">
        <v>204</v>
      </c>
      <c r="E1094" s="83">
        <v>8782</v>
      </c>
      <c r="F1094" s="83" t="s">
        <v>16</v>
      </c>
      <c r="G1094" s="83" t="s">
        <v>77</v>
      </c>
      <c r="H1094" s="83" t="s">
        <v>14</v>
      </c>
      <c r="I1094" s="83" t="s">
        <v>21</v>
      </c>
      <c r="J1094" s="83">
        <v>40</v>
      </c>
      <c r="K1094" s="83"/>
      <c r="L1094" s="83" t="s">
        <v>26</v>
      </c>
      <c r="M1094" s="83" t="s">
        <v>60</v>
      </c>
      <c r="N1094" s="85">
        <v>45992</v>
      </c>
      <c r="O1094" s="86" t="s">
        <v>10</v>
      </c>
      <c r="P1094" s="85" t="s">
        <v>0</v>
      </c>
      <c r="Q1094" s="91">
        <v>814533261</v>
      </c>
      <c r="R1094" s="87"/>
      <c r="S1094" s="75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29"/>
      <c r="AH1094" s="29"/>
      <c r="AI1094" s="29"/>
      <c r="AJ1094" s="29"/>
      <c r="AK1094" s="29"/>
    </row>
    <row r="1095" spans="2:37" ht="16.2" x14ac:dyDescent="0.3">
      <c r="B1095" s="80">
        <v>1087</v>
      </c>
      <c r="C1095" s="84" t="s">
        <v>628</v>
      </c>
      <c r="D1095" s="82" t="s">
        <v>627</v>
      </c>
      <c r="E1095" s="83">
        <v>8783</v>
      </c>
      <c r="F1095" s="83" t="s">
        <v>16</v>
      </c>
      <c r="G1095" s="83" t="s">
        <v>22</v>
      </c>
      <c r="H1095" s="83" t="s">
        <v>14</v>
      </c>
      <c r="I1095" s="83" t="s">
        <v>93</v>
      </c>
      <c r="J1095" s="83">
        <v>45</v>
      </c>
      <c r="K1095" s="83"/>
      <c r="L1095" s="83" t="s">
        <v>26</v>
      </c>
      <c r="M1095" s="83" t="s">
        <v>60</v>
      </c>
      <c r="N1095" s="85">
        <v>45992</v>
      </c>
      <c r="O1095" s="86" t="s">
        <v>10</v>
      </c>
      <c r="P1095" s="85" t="s">
        <v>20</v>
      </c>
      <c r="Q1095" s="91">
        <v>995715128</v>
      </c>
      <c r="R1095" s="87"/>
      <c r="S1095" s="75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29"/>
      <c r="AH1095" s="29"/>
      <c r="AI1095" s="29"/>
      <c r="AJ1095" s="29"/>
      <c r="AK1095" s="29"/>
    </row>
    <row r="1096" spans="2:37" ht="16.2" x14ac:dyDescent="0.3">
      <c r="B1096" s="80">
        <v>1088</v>
      </c>
      <c r="C1096" s="84" t="s">
        <v>628</v>
      </c>
      <c r="D1096" s="82" t="s">
        <v>627</v>
      </c>
      <c r="E1096" s="83">
        <v>8784</v>
      </c>
      <c r="F1096" s="83" t="s">
        <v>16</v>
      </c>
      <c r="G1096" s="83" t="s">
        <v>22</v>
      </c>
      <c r="H1096" s="83" t="s">
        <v>14</v>
      </c>
      <c r="I1096" s="83" t="s">
        <v>922</v>
      </c>
      <c r="J1096" s="83">
        <v>45</v>
      </c>
      <c r="K1096" s="83"/>
      <c r="L1096" s="83" t="s">
        <v>26</v>
      </c>
      <c r="M1096" s="83" t="s">
        <v>60</v>
      </c>
      <c r="N1096" s="85">
        <v>45992</v>
      </c>
      <c r="O1096" s="86" t="s">
        <v>10</v>
      </c>
      <c r="P1096" s="85" t="s">
        <v>20</v>
      </c>
      <c r="Q1096" s="91">
        <v>995715128</v>
      </c>
      <c r="R1096" s="87"/>
      <c r="S1096" s="75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29"/>
      <c r="AH1096" s="29"/>
      <c r="AI1096" s="29"/>
      <c r="AJ1096" s="29"/>
      <c r="AK1096" s="29"/>
    </row>
    <row r="1097" spans="2:37" ht="16.2" x14ac:dyDescent="0.3">
      <c r="B1097" s="80">
        <v>1089</v>
      </c>
      <c r="C1097" s="84" t="s">
        <v>795</v>
      </c>
      <c r="D1097" s="82" t="s">
        <v>794</v>
      </c>
      <c r="E1097" s="83">
        <v>8785</v>
      </c>
      <c r="F1097" s="83" t="s">
        <v>28</v>
      </c>
      <c r="G1097" s="83" t="s">
        <v>40</v>
      </c>
      <c r="H1097" s="83" t="s">
        <v>14</v>
      </c>
      <c r="I1097" s="83" t="s">
        <v>21</v>
      </c>
      <c r="J1097" s="83">
        <v>40</v>
      </c>
      <c r="K1097" s="83"/>
      <c r="L1097" s="83" t="s">
        <v>26</v>
      </c>
      <c r="M1097" s="83" t="s">
        <v>49</v>
      </c>
      <c r="N1097" s="85">
        <v>45993</v>
      </c>
      <c r="O1097" s="86" t="s">
        <v>10</v>
      </c>
      <c r="P1097" s="85" t="s">
        <v>0</v>
      </c>
      <c r="Q1097" s="91">
        <v>993573914</v>
      </c>
      <c r="R1097" s="87"/>
      <c r="S1097" s="75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29"/>
      <c r="AH1097" s="29"/>
      <c r="AI1097" s="29"/>
      <c r="AJ1097" s="29"/>
      <c r="AK1097" s="29"/>
    </row>
    <row r="1098" spans="2:37" ht="16.2" x14ac:dyDescent="0.3">
      <c r="B1098" s="80">
        <v>1090</v>
      </c>
      <c r="C1098" s="84" t="s">
        <v>753</v>
      </c>
      <c r="D1098" s="82" t="s">
        <v>752</v>
      </c>
      <c r="E1098" s="83">
        <v>8786</v>
      </c>
      <c r="F1098" s="83" t="s">
        <v>16</v>
      </c>
      <c r="G1098" s="83" t="s">
        <v>72</v>
      </c>
      <c r="H1098" s="83" t="s">
        <v>14</v>
      </c>
      <c r="I1098" s="83" t="s">
        <v>21</v>
      </c>
      <c r="J1098" s="83">
        <v>55</v>
      </c>
      <c r="K1098" s="83"/>
      <c r="L1098" s="83" t="s">
        <v>12</v>
      </c>
      <c r="M1098" s="83" t="s">
        <v>49</v>
      </c>
      <c r="N1098" s="85">
        <v>45993</v>
      </c>
      <c r="O1098" s="86" t="s">
        <v>25</v>
      </c>
      <c r="P1098" s="85" t="s">
        <v>20</v>
      </c>
      <c r="Q1098" s="91">
        <v>814618675</v>
      </c>
      <c r="R1098" s="87"/>
      <c r="S1098" s="75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29"/>
      <c r="AH1098" s="29"/>
      <c r="AI1098" s="29"/>
      <c r="AJ1098" s="29"/>
      <c r="AK1098" s="29"/>
    </row>
    <row r="1099" spans="2:37" ht="16.2" x14ac:dyDescent="0.3">
      <c r="B1099" s="80">
        <v>1091</v>
      </c>
      <c r="C1099" s="84" t="s">
        <v>469</v>
      </c>
      <c r="D1099" s="82" t="s">
        <v>468</v>
      </c>
      <c r="E1099" s="83">
        <v>8787</v>
      </c>
      <c r="F1099" s="83" t="s">
        <v>16</v>
      </c>
      <c r="G1099" s="84" t="s">
        <v>53</v>
      </c>
      <c r="H1099" s="83" t="s">
        <v>14</v>
      </c>
      <c r="I1099" s="83" t="s">
        <v>21</v>
      </c>
      <c r="J1099" s="83">
        <v>45</v>
      </c>
      <c r="K1099" s="83"/>
      <c r="L1099" s="83" t="s">
        <v>26</v>
      </c>
      <c r="M1099" s="83" t="s">
        <v>49</v>
      </c>
      <c r="N1099" s="85">
        <v>45993</v>
      </c>
      <c r="O1099" s="86" t="s">
        <v>10</v>
      </c>
      <c r="P1099" s="85" t="s">
        <v>20</v>
      </c>
      <c r="Q1099" s="91">
        <v>977718020</v>
      </c>
      <c r="R1099" s="87"/>
      <c r="S1099" s="75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29"/>
      <c r="AH1099" s="29"/>
      <c r="AI1099" s="29"/>
      <c r="AJ1099" s="29"/>
      <c r="AK1099" s="29"/>
    </row>
    <row r="1100" spans="2:37" ht="16.2" x14ac:dyDescent="0.3">
      <c r="B1100" s="80">
        <v>1092</v>
      </c>
      <c r="C1100" s="84" t="s">
        <v>634</v>
      </c>
      <c r="D1100" s="82" t="s">
        <v>633</v>
      </c>
      <c r="E1100" s="83">
        <v>8788</v>
      </c>
      <c r="F1100" s="83" t="s">
        <v>16</v>
      </c>
      <c r="G1100" s="83" t="s">
        <v>57</v>
      </c>
      <c r="H1100" s="83" t="s">
        <v>14</v>
      </c>
      <c r="I1100" s="83" t="s">
        <v>21</v>
      </c>
      <c r="J1100" s="83">
        <v>45</v>
      </c>
      <c r="K1100" s="83"/>
      <c r="L1100" s="83" t="s">
        <v>12</v>
      </c>
      <c r="M1100" s="83" t="s">
        <v>49</v>
      </c>
      <c r="N1100" s="85">
        <v>45993</v>
      </c>
      <c r="O1100" s="86" t="s">
        <v>25</v>
      </c>
      <c r="P1100" s="85" t="s">
        <v>20</v>
      </c>
      <c r="Q1100" s="91">
        <v>992991808</v>
      </c>
      <c r="R1100" s="87"/>
      <c r="S1100" s="75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29"/>
      <c r="AH1100" s="29"/>
      <c r="AI1100" s="29"/>
      <c r="AJ1100" s="29"/>
      <c r="AK1100" s="29"/>
    </row>
    <row r="1101" spans="2:37" ht="16.2" x14ac:dyDescent="0.3">
      <c r="B1101" s="80">
        <v>1093</v>
      </c>
      <c r="C1101" s="84" t="s">
        <v>243</v>
      </c>
      <c r="D1101" s="82" t="s">
        <v>242</v>
      </c>
      <c r="E1101" s="83">
        <v>8789</v>
      </c>
      <c r="F1101" s="84" t="s">
        <v>28</v>
      </c>
      <c r="G1101" s="84" t="s">
        <v>106</v>
      </c>
      <c r="H1101" s="84" t="s">
        <v>14</v>
      </c>
      <c r="I1101" s="84" t="s">
        <v>785</v>
      </c>
      <c r="J1101" s="84">
        <v>80</v>
      </c>
      <c r="K1101" s="84"/>
      <c r="L1101" s="84" t="s">
        <v>26</v>
      </c>
      <c r="M1101" s="84" t="s">
        <v>49</v>
      </c>
      <c r="N1101" s="85">
        <v>45993</v>
      </c>
      <c r="O1101" s="86" t="s">
        <v>25</v>
      </c>
      <c r="P1101" s="97" t="s">
        <v>20</v>
      </c>
      <c r="Q1101" s="91">
        <v>995220630</v>
      </c>
      <c r="R1101" s="91"/>
      <c r="S1101" s="75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29"/>
      <c r="AH1101" s="29"/>
      <c r="AI1101" s="29"/>
      <c r="AJ1101" s="29"/>
      <c r="AK1101" s="29"/>
    </row>
    <row r="1102" spans="2:37" ht="16.2" x14ac:dyDescent="0.3">
      <c r="B1102" s="80">
        <v>1094</v>
      </c>
      <c r="C1102" s="84" t="s">
        <v>710</v>
      </c>
      <c r="D1102" s="82" t="s">
        <v>709</v>
      </c>
      <c r="E1102" s="83">
        <v>8790</v>
      </c>
      <c r="F1102" s="83" t="s">
        <v>28</v>
      </c>
      <c r="G1102" s="83" t="s">
        <v>100</v>
      </c>
      <c r="H1102" s="83" t="s">
        <v>14</v>
      </c>
      <c r="I1102" s="83" t="s">
        <v>13</v>
      </c>
      <c r="J1102" s="83">
        <v>55</v>
      </c>
      <c r="K1102" s="83"/>
      <c r="L1102" s="83" t="s">
        <v>12</v>
      </c>
      <c r="M1102" s="83" t="s">
        <v>49</v>
      </c>
      <c r="N1102" s="85">
        <v>45993</v>
      </c>
      <c r="O1102" s="86" t="s">
        <v>10</v>
      </c>
      <c r="P1102" s="85" t="s">
        <v>20</v>
      </c>
      <c r="Q1102" s="91">
        <v>852058596</v>
      </c>
      <c r="R1102" s="87" t="s">
        <v>1322</v>
      </c>
      <c r="S1102" s="75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29"/>
      <c r="AH1102" s="29"/>
      <c r="AI1102" s="29"/>
      <c r="AJ1102" s="29"/>
      <c r="AK1102" s="29"/>
    </row>
    <row r="1103" spans="2:37" ht="16.2" x14ac:dyDescent="0.3">
      <c r="B1103" s="80">
        <v>1095</v>
      </c>
      <c r="C1103" s="84" t="s">
        <v>710</v>
      </c>
      <c r="D1103" s="82" t="s">
        <v>709</v>
      </c>
      <c r="E1103" s="83">
        <v>8792</v>
      </c>
      <c r="F1103" s="83" t="s">
        <v>28</v>
      </c>
      <c r="G1103" s="84" t="s">
        <v>100</v>
      </c>
      <c r="H1103" s="83" t="s">
        <v>14</v>
      </c>
      <c r="I1103" s="83" t="s">
        <v>21</v>
      </c>
      <c r="J1103" s="83">
        <v>55</v>
      </c>
      <c r="K1103" s="83"/>
      <c r="L1103" s="83" t="s">
        <v>12</v>
      </c>
      <c r="M1103" s="83" t="s">
        <v>49</v>
      </c>
      <c r="N1103" s="85">
        <v>45993</v>
      </c>
      <c r="O1103" s="86" t="s">
        <v>10</v>
      </c>
      <c r="P1103" s="85" t="s">
        <v>20</v>
      </c>
      <c r="Q1103" s="91">
        <v>852058596</v>
      </c>
      <c r="R1103" s="87" t="s">
        <v>1322</v>
      </c>
      <c r="S1103" s="75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29"/>
      <c r="AH1103" s="29"/>
      <c r="AI1103" s="29"/>
      <c r="AJ1103" s="29"/>
      <c r="AK1103" s="29"/>
    </row>
    <row r="1104" spans="2:37" ht="16.2" x14ac:dyDescent="0.3">
      <c r="B1104" s="80">
        <v>1096</v>
      </c>
      <c r="C1104" s="84" t="s">
        <v>712</v>
      </c>
      <c r="D1104" s="82" t="s">
        <v>711</v>
      </c>
      <c r="E1104" s="83">
        <v>8791</v>
      </c>
      <c r="F1104" s="83" t="s">
        <v>16</v>
      </c>
      <c r="G1104" s="83" t="s">
        <v>53</v>
      </c>
      <c r="H1104" s="83" t="s">
        <v>14</v>
      </c>
      <c r="I1104" s="83" t="s">
        <v>13</v>
      </c>
      <c r="J1104" s="83">
        <v>55</v>
      </c>
      <c r="K1104" s="83"/>
      <c r="L1104" s="83" t="s">
        <v>12</v>
      </c>
      <c r="M1104" s="83" t="s">
        <v>49</v>
      </c>
      <c r="N1104" s="85">
        <v>45993</v>
      </c>
      <c r="O1104" s="86" t="s">
        <v>10</v>
      </c>
      <c r="P1104" s="85" t="s">
        <v>20</v>
      </c>
      <c r="Q1104" s="91">
        <v>852058596</v>
      </c>
      <c r="R1104" s="87" t="s">
        <v>1322</v>
      </c>
      <c r="S1104" s="75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29"/>
      <c r="AH1104" s="29"/>
      <c r="AI1104" s="29"/>
      <c r="AJ1104" s="29"/>
      <c r="AK1104" s="29"/>
    </row>
    <row r="1105" spans="2:37" ht="16.2" x14ac:dyDescent="0.3">
      <c r="B1105" s="80">
        <v>1097</v>
      </c>
      <c r="C1105" s="84" t="s">
        <v>712</v>
      </c>
      <c r="D1105" s="82" t="s">
        <v>711</v>
      </c>
      <c r="E1105" s="83">
        <v>8793</v>
      </c>
      <c r="F1105" s="83" t="s">
        <v>16</v>
      </c>
      <c r="G1105" s="83" t="s">
        <v>53</v>
      </c>
      <c r="H1105" s="83" t="s">
        <v>14</v>
      </c>
      <c r="I1105" s="83" t="s">
        <v>21</v>
      </c>
      <c r="J1105" s="83">
        <v>55</v>
      </c>
      <c r="K1105" s="83"/>
      <c r="L1105" s="83" t="s">
        <v>12</v>
      </c>
      <c r="M1105" s="83" t="s">
        <v>49</v>
      </c>
      <c r="N1105" s="85">
        <v>45993</v>
      </c>
      <c r="O1105" s="86" t="s">
        <v>10</v>
      </c>
      <c r="P1105" s="85" t="s">
        <v>20</v>
      </c>
      <c r="Q1105" s="91">
        <v>852058596</v>
      </c>
      <c r="R1105" s="87" t="s">
        <v>1322</v>
      </c>
      <c r="S1105" s="75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29"/>
      <c r="AH1105" s="29"/>
      <c r="AI1105" s="29"/>
      <c r="AJ1105" s="29"/>
      <c r="AK1105" s="29"/>
    </row>
    <row r="1106" spans="2:37" ht="16.2" x14ac:dyDescent="0.3">
      <c r="B1106" s="80">
        <v>1098</v>
      </c>
      <c r="C1106" s="84" t="s">
        <v>658</v>
      </c>
      <c r="D1106" s="82" t="s">
        <v>657</v>
      </c>
      <c r="E1106" s="83">
        <v>8794</v>
      </c>
      <c r="F1106" s="83" t="s">
        <v>28</v>
      </c>
      <c r="G1106" s="83" t="s">
        <v>100</v>
      </c>
      <c r="H1106" s="83" t="s">
        <v>14</v>
      </c>
      <c r="I1106" s="83" t="s">
        <v>21</v>
      </c>
      <c r="J1106" s="83">
        <v>55</v>
      </c>
      <c r="K1106" s="83"/>
      <c r="L1106" s="83" t="s">
        <v>26</v>
      </c>
      <c r="M1106" s="83" t="s">
        <v>49</v>
      </c>
      <c r="N1106" s="85">
        <v>45993</v>
      </c>
      <c r="O1106" s="86" t="s">
        <v>10</v>
      </c>
      <c r="P1106" s="85" t="s">
        <v>20</v>
      </c>
      <c r="Q1106" s="91">
        <v>985245647</v>
      </c>
      <c r="R1106" s="87"/>
      <c r="S1106" s="75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29"/>
      <c r="AH1106" s="29"/>
      <c r="AI1106" s="29"/>
      <c r="AJ1106" s="29"/>
      <c r="AK1106" s="29"/>
    </row>
    <row r="1107" spans="2:37" ht="16.2" x14ac:dyDescent="0.3">
      <c r="B1107" s="80">
        <v>1099</v>
      </c>
      <c r="C1107" s="84" t="s">
        <v>1125</v>
      </c>
      <c r="D1107" s="82" t="s">
        <v>1126</v>
      </c>
      <c r="E1107" s="83">
        <v>8795</v>
      </c>
      <c r="F1107" s="83" t="s">
        <v>28</v>
      </c>
      <c r="G1107" s="83" t="s">
        <v>27</v>
      </c>
      <c r="H1107" s="83" t="s">
        <v>14</v>
      </c>
      <c r="I1107" s="83" t="s">
        <v>21</v>
      </c>
      <c r="J1107" s="83">
        <v>55</v>
      </c>
      <c r="K1107" s="83"/>
      <c r="L1107" s="83" t="s">
        <v>26</v>
      </c>
      <c r="M1107" s="83" t="s">
        <v>49</v>
      </c>
      <c r="N1107" s="85">
        <v>45993</v>
      </c>
      <c r="O1107" s="86" t="s">
        <v>25</v>
      </c>
      <c r="P1107" s="85" t="s">
        <v>20</v>
      </c>
      <c r="Q1107" s="91">
        <v>972735228</v>
      </c>
      <c r="R1107" s="87"/>
      <c r="S1107" s="75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29"/>
      <c r="AH1107" s="29"/>
      <c r="AI1107" s="29"/>
      <c r="AJ1107" s="29"/>
      <c r="AK1107" s="29"/>
    </row>
    <row r="1108" spans="2:37" ht="16.2" x14ac:dyDescent="0.3">
      <c r="B1108" s="80">
        <v>1100</v>
      </c>
      <c r="C1108" s="84" t="s">
        <v>993</v>
      </c>
      <c r="D1108" s="82" t="s">
        <v>994</v>
      </c>
      <c r="E1108" s="83">
        <v>6893</v>
      </c>
      <c r="F1108" s="83" t="s">
        <v>16</v>
      </c>
      <c r="G1108" s="83" t="s">
        <v>127</v>
      </c>
      <c r="H1108" s="83" t="s">
        <v>14</v>
      </c>
      <c r="I1108" s="83" t="s">
        <v>19</v>
      </c>
      <c r="J1108" s="83">
        <v>55</v>
      </c>
      <c r="K1108" s="83"/>
      <c r="L1108" s="83" t="s">
        <v>12</v>
      </c>
      <c r="M1108" s="83" t="s">
        <v>112</v>
      </c>
      <c r="N1108" s="85">
        <v>45939</v>
      </c>
      <c r="O1108" s="86" t="s">
        <v>10</v>
      </c>
      <c r="P1108" s="85" t="s">
        <v>20</v>
      </c>
      <c r="Q1108" s="91">
        <v>991448596</v>
      </c>
      <c r="R1108" s="87"/>
      <c r="S1108" s="75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29"/>
      <c r="AH1108" s="29"/>
      <c r="AI1108" s="29"/>
      <c r="AJ1108" s="29"/>
      <c r="AK1108" s="29"/>
    </row>
    <row r="1109" spans="2:37" ht="16.2" x14ac:dyDescent="0.3">
      <c r="B1109" s="80">
        <v>1101</v>
      </c>
      <c r="C1109" s="84" t="s">
        <v>993</v>
      </c>
      <c r="D1109" s="82" t="s">
        <v>994</v>
      </c>
      <c r="E1109" s="83">
        <v>8796</v>
      </c>
      <c r="F1109" s="83" t="s">
        <v>16</v>
      </c>
      <c r="G1109" s="83" t="s">
        <v>127</v>
      </c>
      <c r="H1109" s="83" t="s">
        <v>14</v>
      </c>
      <c r="I1109" s="83" t="s">
        <v>21</v>
      </c>
      <c r="J1109" s="83">
        <v>55</v>
      </c>
      <c r="K1109" s="83"/>
      <c r="L1109" s="83" t="s">
        <v>12</v>
      </c>
      <c r="M1109" s="83" t="s">
        <v>49</v>
      </c>
      <c r="N1109" s="85">
        <v>45993</v>
      </c>
      <c r="O1109" s="86" t="s">
        <v>10</v>
      </c>
      <c r="P1109" s="85" t="s">
        <v>20</v>
      </c>
      <c r="Q1109" s="91">
        <v>991448596</v>
      </c>
      <c r="R1109" s="87"/>
      <c r="S1109" s="75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29"/>
      <c r="AH1109" s="29"/>
      <c r="AI1109" s="29"/>
      <c r="AJ1109" s="29"/>
      <c r="AK1109" s="29"/>
    </row>
    <row r="1110" spans="2:37" ht="16.2" x14ac:dyDescent="0.3">
      <c r="B1110" s="80">
        <v>1102</v>
      </c>
      <c r="C1110" s="84" t="s">
        <v>496</v>
      </c>
      <c r="D1110" s="82" t="s">
        <v>495</v>
      </c>
      <c r="E1110" s="83">
        <v>8797</v>
      </c>
      <c r="F1110" s="83" t="s">
        <v>16</v>
      </c>
      <c r="G1110" s="84" t="s">
        <v>201</v>
      </c>
      <c r="H1110" s="83" t="s">
        <v>14</v>
      </c>
      <c r="I1110" s="83" t="s">
        <v>21</v>
      </c>
      <c r="J1110" s="83">
        <v>40</v>
      </c>
      <c r="K1110" s="83"/>
      <c r="L1110" s="83" t="s">
        <v>12</v>
      </c>
      <c r="M1110" s="83" t="s">
        <v>49</v>
      </c>
      <c r="N1110" s="85">
        <v>45993</v>
      </c>
      <c r="O1110" s="86" t="s">
        <v>10</v>
      </c>
      <c r="P1110" s="85" t="s">
        <v>9</v>
      </c>
      <c r="Q1110" s="91" t="s">
        <v>494</v>
      </c>
      <c r="R1110" s="87"/>
      <c r="S1110" s="75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29"/>
      <c r="AH1110" s="29"/>
      <c r="AI1110" s="29"/>
      <c r="AJ1110" s="29"/>
      <c r="AK1110" s="29"/>
    </row>
    <row r="1111" spans="2:37" ht="16.2" x14ac:dyDescent="0.3">
      <c r="B1111" s="80">
        <v>1103</v>
      </c>
      <c r="C1111" s="84" t="s">
        <v>496</v>
      </c>
      <c r="D1111" s="82" t="s">
        <v>495</v>
      </c>
      <c r="E1111" s="83">
        <v>8798</v>
      </c>
      <c r="F1111" s="83" t="s">
        <v>16</v>
      </c>
      <c r="G1111" s="83" t="s">
        <v>201</v>
      </c>
      <c r="H1111" s="83" t="s">
        <v>14</v>
      </c>
      <c r="I1111" s="83" t="s">
        <v>93</v>
      </c>
      <c r="J1111" s="83">
        <v>40</v>
      </c>
      <c r="K1111" s="83"/>
      <c r="L1111" s="83" t="s">
        <v>12</v>
      </c>
      <c r="M1111" s="83" t="s">
        <v>49</v>
      </c>
      <c r="N1111" s="85">
        <v>45993</v>
      </c>
      <c r="O1111" s="86" t="s">
        <v>10</v>
      </c>
      <c r="P1111" s="85" t="s">
        <v>9</v>
      </c>
      <c r="Q1111" s="91" t="s">
        <v>494</v>
      </c>
      <c r="R1111" s="87"/>
      <c r="S1111" s="75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29"/>
      <c r="AH1111" s="29"/>
      <c r="AI1111" s="29"/>
      <c r="AJ1111" s="29"/>
      <c r="AK1111" s="29"/>
    </row>
    <row r="1112" spans="2:37" ht="16.2" x14ac:dyDescent="0.3">
      <c r="B1112" s="80">
        <v>1104</v>
      </c>
      <c r="C1112" s="84" t="s">
        <v>493</v>
      </c>
      <c r="D1112" s="82" t="s">
        <v>492</v>
      </c>
      <c r="E1112" s="83">
        <v>8799</v>
      </c>
      <c r="F1112" s="83" t="s">
        <v>28</v>
      </c>
      <c r="G1112" s="83" t="s">
        <v>77</v>
      </c>
      <c r="H1112" s="83" t="s">
        <v>14</v>
      </c>
      <c r="I1112" s="83" t="s">
        <v>21</v>
      </c>
      <c r="J1112" s="83">
        <v>40</v>
      </c>
      <c r="K1112" s="83"/>
      <c r="L1112" s="83" t="s">
        <v>26</v>
      </c>
      <c r="M1112" s="83" t="s">
        <v>49</v>
      </c>
      <c r="N1112" s="85">
        <v>45993</v>
      </c>
      <c r="O1112" s="86" t="s">
        <v>10</v>
      </c>
      <c r="P1112" s="85" t="s">
        <v>0</v>
      </c>
      <c r="Q1112" s="91">
        <v>997102095</v>
      </c>
      <c r="R1112" s="87"/>
      <c r="S1112" s="75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29"/>
      <c r="AH1112" s="29"/>
      <c r="AI1112" s="29"/>
      <c r="AJ1112" s="29"/>
      <c r="AK1112" s="29"/>
    </row>
    <row r="1113" spans="2:37" ht="16.2" x14ac:dyDescent="0.3">
      <c r="B1113" s="80">
        <v>1105</v>
      </c>
      <c r="C1113" s="84" t="s">
        <v>493</v>
      </c>
      <c r="D1113" s="82" t="s">
        <v>492</v>
      </c>
      <c r="E1113" s="83">
        <v>8800</v>
      </c>
      <c r="F1113" s="83" t="s">
        <v>28</v>
      </c>
      <c r="G1113" s="83" t="s">
        <v>77</v>
      </c>
      <c r="H1113" s="83" t="s">
        <v>14</v>
      </c>
      <c r="I1113" s="83" t="s">
        <v>93</v>
      </c>
      <c r="J1113" s="83">
        <v>40</v>
      </c>
      <c r="K1113" s="83"/>
      <c r="L1113" s="83" t="s">
        <v>26</v>
      </c>
      <c r="M1113" s="83" t="s">
        <v>49</v>
      </c>
      <c r="N1113" s="85">
        <v>45993</v>
      </c>
      <c r="O1113" s="86" t="s">
        <v>10</v>
      </c>
      <c r="P1113" s="85" t="s">
        <v>0</v>
      </c>
      <c r="Q1113" s="91">
        <v>997102095</v>
      </c>
      <c r="R1113" s="87"/>
      <c r="S1113" s="75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29"/>
      <c r="AH1113" s="29"/>
      <c r="AI1113" s="29"/>
      <c r="AJ1113" s="29"/>
      <c r="AK1113" s="29"/>
    </row>
    <row r="1114" spans="2:37" ht="16.2" x14ac:dyDescent="0.3">
      <c r="B1114" s="80">
        <v>1106</v>
      </c>
      <c r="C1114" s="84" t="s">
        <v>160</v>
      </c>
      <c r="D1114" s="82" t="s">
        <v>159</v>
      </c>
      <c r="E1114" s="83">
        <v>8801</v>
      </c>
      <c r="F1114" s="83" t="s">
        <v>28</v>
      </c>
      <c r="G1114" s="84" t="s">
        <v>97</v>
      </c>
      <c r="H1114" s="83" t="s">
        <v>14</v>
      </c>
      <c r="I1114" s="83" t="s">
        <v>21</v>
      </c>
      <c r="J1114" s="83">
        <v>100</v>
      </c>
      <c r="K1114" s="83"/>
      <c r="L1114" s="83" t="s">
        <v>26</v>
      </c>
      <c r="M1114" s="83" t="s">
        <v>49</v>
      </c>
      <c r="N1114" s="85">
        <v>45993</v>
      </c>
      <c r="O1114" s="86" t="s">
        <v>25</v>
      </c>
      <c r="P1114" s="85" t="s">
        <v>20</v>
      </c>
      <c r="Q1114" s="91">
        <v>902793844</v>
      </c>
      <c r="R1114" s="87"/>
      <c r="S1114" s="75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29"/>
      <c r="AH1114" s="29"/>
      <c r="AI1114" s="29"/>
      <c r="AJ1114" s="29"/>
      <c r="AK1114" s="29"/>
    </row>
    <row r="1115" spans="2:37" ht="16.2" x14ac:dyDescent="0.3">
      <c r="B1115" s="80">
        <v>1107</v>
      </c>
      <c r="C1115" s="84" t="s">
        <v>981</v>
      </c>
      <c r="D1115" s="82" t="s">
        <v>982</v>
      </c>
      <c r="E1115" s="83">
        <v>8802</v>
      </c>
      <c r="F1115" s="83" t="s">
        <v>28</v>
      </c>
      <c r="G1115" s="83" t="s">
        <v>34</v>
      </c>
      <c r="H1115" s="83" t="s">
        <v>14</v>
      </c>
      <c r="I1115" s="83" t="s">
        <v>21</v>
      </c>
      <c r="J1115" s="83">
        <v>55</v>
      </c>
      <c r="K1115" s="83"/>
      <c r="L1115" s="83" t="s">
        <v>26</v>
      </c>
      <c r="M1115" s="83" t="s">
        <v>49</v>
      </c>
      <c r="N1115" s="85">
        <v>45993</v>
      </c>
      <c r="O1115" s="86" t="s">
        <v>10</v>
      </c>
      <c r="P1115" s="85" t="s">
        <v>20</v>
      </c>
      <c r="Q1115" s="91">
        <v>977563563</v>
      </c>
      <c r="R1115" s="87"/>
      <c r="S1115" s="75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29"/>
      <c r="AH1115" s="29"/>
      <c r="AI1115" s="29"/>
      <c r="AJ1115" s="29"/>
      <c r="AK1115" s="29"/>
    </row>
    <row r="1116" spans="2:37" ht="16.2" x14ac:dyDescent="0.3">
      <c r="B1116" s="80">
        <v>1108</v>
      </c>
      <c r="C1116" s="84" t="s">
        <v>697</v>
      </c>
      <c r="D1116" s="82" t="s">
        <v>696</v>
      </c>
      <c r="E1116" s="83">
        <v>8803</v>
      </c>
      <c r="F1116" s="83" t="s">
        <v>16</v>
      </c>
      <c r="G1116" s="83" t="s">
        <v>50</v>
      </c>
      <c r="H1116" s="83" t="s">
        <v>14</v>
      </c>
      <c r="I1116" s="83" t="s">
        <v>21</v>
      </c>
      <c r="J1116" s="83">
        <v>35</v>
      </c>
      <c r="K1116" s="83"/>
      <c r="L1116" s="83" t="s">
        <v>26</v>
      </c>
      <c r="M1116" s="83" t="s">
        <v>49</v>
      </c>
      <c r="N1116" s="85">
        <v>45993</v>
      </c>
      <c r="O1116" s="86" t="s">
        <v>25</v>
      </c>
      <c r="P1116" s="85" t="s">
        <v>9</v>
      </c>
      <c r="Q1116" s="91"/>
      <c r="R1116" s="87"/>
      <c r="S1116" s="75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  <c r="AE1116" s="29"/>
      <c r="AF1116" s="29"/>
      <c r="AG1116" s="29"/>
      <c r="AH1116" s="29"/>
      <c r="AI1116" s="29"/>
      <c r="AJ1116" s="29"/>
      <c r="AK1116" s="29"/>
    </row>
    <row r="1117" spans="2:37" ht="16.2" x14ac:dyDescent="0.3">
      <c r="B1117" s="80">
        <v>1109</v>
      </c>
      <c r="C1117" s="84" t="s">
        <v>695</v>
      </c>
      <c r="D1117" s="82" t="s">
        <v>694</v>
      </c>
      <c r="E1117" s="83">
        <v>8804</v>
      </c>
      <c r="F1117" s="83" t="s">
        <v>16</v>
      </c>
      <c r="G1117" s="83" t="s">
        <v>15</v>
      </c>
      <c r="H1117" s="83" t="s">
        <v>14</v>
      </c>
      <c r="I1117" s="83" t="s">
        <v>21</v>
      </c>
      <c r="J1117" s="83">
        <v>35</v>
      </c>
      <c r="K1117" s="83"/>
      <c r="L1117" s="83" t="s">
        <v>26</v>
      </c>
      <c r="M1117" s="83" t="s">
        <v>49</v>
      </c>
      <c r="N1117" s="85">
        <v>45993</v>
      </c>
      <c r="O1117" s="86" t="s">
        <v>25</v>
      </c>
      <c r="P1117" s="85" t="s">
        <v>9</v>
      </c>
      <c r="Q1117" s="91"/>
      <c r="R1117" s="87"/>
      <c r="S1117" s="75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29"/>
      <c r="AH1117" s="29"/>
      <c r="AI1117" s="29"/>
      <c r="AJ1117" s="29"/>
      <c r="AK1117" s="29"/>
    </row>
    <row r="1118" spans="2:37" ht="16.2" x14ac:dyDescent="0.3">
      <c r="B1118" s="80">
        <v>1110</v>
      </c>
      <c r="C1118" s="84" t="s">
        <v>688</v>
      </c>
      <c r="D1118" s="82" t="s">
        <v>687</v>
      </c>
      <c r="E1118" s="83">
        <v>8805</v>
      </c>
      <c r="F1118" s="83" t="s">
        <v>16</v>
      </c>
      <c r="G1118" s="83" t="s">
        <v>77</v>
      </c>
      <c r="H1118" s="83" t="s">
        <v>14</v>
      </c>
      <c r="I1118" s="83" t="s">
        <v>13</v>
      </c>
      <c r="J1118" s="83">
        <v>30</v>
      </c>
      <c r="K1118" s="83"/>
      <c r="L1118" s="83" t="s">
        <v>26</v>
      </c>
      <c r="M1118" s="83" t="s">
        <v>49</v>
      </c>
      <c r="N1118" s="85">
        <v>45993</v>
      </c>
      <c r="O1118" s="86" t="s">
        <v>25</v>
      </c>
      <c r="P1118" s="85" t="s">
        <v>0</v>
      </c>
      <c r="Q1118" s="91"/>
      <c r="R1118" s="87" t="s">
        <v>1323</v>
      </c>
      <c r="S1118" s="75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29"/>
      <c r="AE1118" s="29"/>
      <c r="AF1118" s="29"/>
      <c r="AG1118" s="29"/>
      <c r="AH1118" s="29"/>
      <c r="AI1118" s="29"/>
      <c r="AJ1118" s="29"/>
      <c r="AK1118" s="29"/>
    </row>
    <row r="1119" spans="2:37" ht="16.2" x14ac:dyDescent="0.3">
      <c r="B1119" s="80">
        <v>1111</v>
      </c>
      <c r="C1119" s="84" t="s">
        <v>644</v>
      </c>
      <c r="D1119" s="82" t="s">
        <v>643</v>
      </c>
      <c r="E1119" s="83">
        <v>8806</v>
      </c>
      <c r="F1119" s="83" t="s">
        <v>16</v>
      </c>
      <c r="G1119" s="83" t="s">
        <v>83</v>
      </c>
      <c r="H1119" s="83" t="s">
        <v>14</v>
      </c>
      <c r="I1119" s="83" t="s">
        <v>21</v>
      </c>
      <c r="J1119" s="83">
        <v>40</v>
      </c>
      <c r="K1119" s="83"/>
      <c r="L1119" s="83" t="s">
        <v>12</v>
      </c>
      <c r="M1119" s="83" t="s">
        <v>49</v>
      </c>
      <c r="N1119" s="85">
        <v>45993</v>
      </c>
      <c r="O1119" s="86" t="s">
        <v>10</v>
      </c>
      <c r="P1119" s="85" t="s">
        <v>9</v>
      </c>
      <c r="Q1119" s="91">
        <v>999301028</v>
      </c>
      <c r="R1119" s="87" t="s">
        <v>1293</v>
      </c>
      <c r="S1119" s="75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29"/>
      <c r="AE1119" s="29"/>
      <c r="AF1119" s="29"/>
      <c r="AG1119" s="29"/>
      <c r="AH1119" s="29"/>
      <c r="AI1119" s="29"/>
      <c r="AJ1119" s="29"/>
      <c r="AK1119" s="29"/>
    </row>
    <row r="1120" spans="2:37" ht="16.2" x14ac:dyDescent="0.3">
      <c r="B1120" s="80">
        <v>1112</v>
      </c>
      <c r="C1120" s="84" t="s">
        <v>1147</v>
      </c>
      <c r="D1120" s="82" t="s">
        <v>1148</v>
      </c>
      <c r="E1120" s="83">
        <v>8810</v>
      </c>
      <c r="F1120" s="83" t="s">
        <v>16</v>
      </c>
      <c r="G1120" s="83" t="s">
        <v>80</v>
      </c>
      <c r="H1120" s="83" t="s">
        <v>14</v>
      </c>
      <c r="I1120" s="83" t="s">
        <v>21</v>
      </c>
      <c r="J1120" s="83">
        <v>40</v>
      </c>
      <c r="K1120" s="83"/>
      <c r="L1120" s="83" t="s">
        <v>26</v>
      </c>
      <c r="M1120" s="83" t="s">
        <v>49</v>
      </c>
      <c r="N1120" s="85">
        <v>45993</v>
      </c>
      <c r="O1120" s="86" t="s">
        <v>10</v>
      </c>
      <c r="P1120" s="85" t="s">
        <v>9</v>
      </c>
      <c r="Q1120" s="91">
        <v>999555690</v>
      </c>
      <c r="R1120" s="87"/>
      <c r="S1120" s="75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  <c r="AE1120" s="29"/>
      <c r="AF1120" s="29"/>
      <c r="AG1120" s="29"/>
      <c r="AH1120" s="29"/>
      <c r="AI1120" s="29"/>
      <c r="AJ1120" s="29"/>
      <c r="AK1120" s="29"/>
    </row>
    <row r="1121" spans="2:37" ht="16.2" x14ac:dyDescent="0.3">
      <c r="B1121" s="80">
        <v>1113</v>
      </c>
      <c r="C1121" s="84" t="s">
        <v>1324</v>
      </c>
      <c r="D1121" s="82" t="s">
        <v>1325</v>
      </c>
      <c r="E1121" s="83">
        <v>8811</v>
      </c>
      <c r="F1121" s="83" t="s">
        <v>28</v>
      </c>
      <c r="G1121" s="84" t="s">
        <v>201</v>
      </c>
      <c r="H1121" s="83" t="s">
        <v>14</v>
      </c>
      <c r="I1121" s="83" t="s">
        <v>21</v>
      </c>
      <c r="J1121" s="83">
        <v>40</v>
      </c>
      <c r="K1121" s="83"/>
      <c r="L1121" s="83" t="s">
        <v>26</v>
      </c>
      <c r="M1121" s="83" t="s">
        <v>49</v>
      </c>
      <c r="N1121" s="85">
        <v>45993</v>
      </c>
      <c r="O1121" s="86" t="s">
        <v>25</v>
      </c>
      <c r="P1121" s="85" t="s">
        <v>9</v>
      </c>
      <c r="Q1121" s="91">
        <v>99555690</v>
      </c>
      <c r="R1121" s="87"/>
      <c r="S1121" s="75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29"/>
      <c r="AE1121" s="29"/>
      <c r="AF1121" s="29"/>
      <c r="AG1121" s="29"/>
      <c r="AH1121" s="29"/>
      <c r="AI1121" s="29"/>
      <c r="AJ1121" s="29"/>
      <c r="AK1121" s="29"/>
    </row>
    <row r="1122" spans="2:37" ht="16.2" x14ac:dyDescent="0.3">
      <c r="B1122" s="80">
        <v>1114</v>
      </c>
      <c r="C1122" s="84" t="s">
        <v>819</v>
      </c>
      <c r="D1122" s="82" t="s">
        <v>818</v>
      </c>
      <c r="E1122" s="83">
        <v>8812</v>
      </c>
      <c r="F1122" s="83" t="s">
        <v>28</v>
      </c>
      <c r="G1122" s="83" t="s">
        <v>161</v>
      </c>
      <c r="H1122" s="83" t="s">
        <v>14</v>
      </c>
      <c r="I1122" s="83" t="s">
        <v>93</v>
      </c>
      <c r="J1122" s="83">
        <v>100</v>
      </c>
      <c r="K1122" s="83"/>
      <c r="L1122" s="83" t="s">
        <v>12</v>
      </c>
      <c r="M1122" s="83" t="s">
        <v>49</v>
      </c>
      <c r="N1122" s="85">
        <v>45993</v>
      </c>
      <c r="O1122" s="86" t="s">
        <v>25</v>
      </c>
      <c r="P1122" s="85" t="s">
        <v>20</v>
      </c>
      <c r="Q1122" s="91">
        <v>993138694</v>
      </c>
      <c r="R1122" s="87"/>
      <c r="S1122" s="75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9"/>
      <c r="AD1122" s="29"/>
      <c r="AE1122" s="29"/>
      <c r="AF1122" s="29"/>
      <c r="AG1122" s="29"/>
      <c r="AH1122" s="29"/>
      <c r="AI1122" s="29"/>
      <c r="AJ1122" s="29"/>
      <c r="AK1122" s="29"/>
    </row>
    <row r="1123" spans="2:37" ht="16.2" x14ac:dyDescent="0.3">
      <c r="B1123" s="80">
        <v>1115</v>
      </c>
      <c r="C1123" s="84" t="s">
        <v>666</v>
      </c>
      <c r="D1123" s="82" t="s">
        <v>665</v>
      </c>
      <c r="E1123" s="83">
        <v>8813</v>
      </c>
      <c r="F1123" s="83" t="s">
        <v>16</v>
      </c>
      <c r="G1123" s="83" t="s">
        <v>46</v>
      </c>
      <c r="H1123" s="83" t="s">
        <v>14</v>
      </c>
      <c r="I1123" s="83" t="s">
        <v>93</v>
      </c>
      <c r="J1123" s="83">
        <v>40</v>
      </c>
      <c r="K1123" s="83"/>
      <c r="L1123" s="83" t="s">
        <v>26</v>
      </c>
      <c r="M1123" s="83" t="s">
        <v>49</v>
      </c>
      <c r="N1123" s="85">
        <v>45993</v>
      </c>
      <c r="O1123" s="86" t="s">
        <v>10</v>
      </c>
      <c r="P1123" s="85" t="s">
        <v>0</v>
      </c>
      <c r="Q1123" s="91" t="s">
        <v>1326</v>
      </c>
      <c r="R1123" s="87"/>
      <c r="S1123" s="75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29"/>
      <c r="AE1123" s="29"/>
      <c r="AF1123" s="29"/>
      <c r="AG1123" s="29"/>
      <c r="AH1123" s="29"/>
      <c r="AI1123" s="29"/>
      <c r="AJ1123" s="29"/>
      <c r="AK1123" s="29"/>
    </row>
    <row r="1124" spans="2:37" ht="16.2" x14ac:dyDescent="0.3">
      <c r="B1124" s="80">
        <v>1116</v>
      </c>
      <c r="C1124" s="84" t="s">
        <v>666</v>
      </c>
      <c r="D1124" s="82" t="s">
        <v>665</v>
      </c>
      <c r="E1124" s="83">
        <v>8814</v>
      </c>
      <c r="F1124" s="83" t="s">
        <v>16</v>
      </c>
      <c r="G1124" s="83" t="s">
        <v>46</v>
      </c>
      <c r="H1124" s="83" t="s">
        <v>14</v>
      </c>
      <c r="I1124" s="83" t="s">
        <v>21</v>
      </c>
      <c r="J1124" s="83">
        <v>40</v>
      </c>
      <c r="K1124" s="83"/>
      <c r="L1124" s="83" t="s">
        <v>26</v>
      </c>
      <c r="M1124" s="83" t="s">
        <v>49</v>
      </c>
      <c r="N1124" s="85">
        <v>45993</v>
      </c>
      <c r="O1124" s="86" t="s">
        <v>10</v>
      </c>
      <c r="P1124" s="85" t="s">
        <v>0</v>
      </c>
      <c r="Q1124" s="91" t="s">
        <v>1326</v>
      </c>
      <c r="R1124" s="87"/>
      <c r="S1124" s="75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29"/>
      <c r="AE1124" s="29"/>
      <c r="AF1124" s="29"/>
      <c r="AG1124" s="29"/>
      <c r="AH1124" s="29"/>
      <c r="AI1124" s="29"/>
      <c r="AJ1124" s="29"/>
      <c r="AK1124" s="29"/>
    </row>
    <row r="1125" spans="2:37" ht="16.2" x14ac:dyDescent="0.3">
      <c r="B1125" s="80">
        <v>1117</v>
      </c>
      <c r="C1125" s="84" t="s">
        <v>451</v>
      </c>
      <c r="D1125" s="82" t="s">
        <v>450</v>
      </c>
      <c r="E1125" s="83">
        <v>8815</v>
      </c>
      <c r="F1125" s="83" t="s">
        <v>28</v>
      </c>
      <c r="G1125" s="83" t="s">
        <v>31</v>
      </c>
      <c r="H1125" s="83" t="s">
        <v>14</v>
      </c>
      <c r="I1125" s="83" t="s">
        <v>21</v>
      </c>
      <c r="J1125" s="83">
        <v>45</v>
      </c>
      <c r="K1125" s="83"/>
      <c r="L1125" s="83" t="s">
        <v>12</v>
      </c>
      <c r="M1125" s="83" t="s">
        <v>49</v>
      </c>
      <c r="N1125" s="85">
        <v>45993</v>
      </c>
      <c r="O1125" s="86" t="s">
        <v>10</v>
      </c>
      <c r="P1125" s="85" t="s">
        <v>20</v>
      </c>
      <c r="Q1125" s="91">
        <v>995912740</v>
      </c>
      <c r="R1125" s="87"/>
      <c r="S1125" s="75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</row>
    <row r="1126" spans="2:37" ht="16.2" x14ac:dyDescent="0.3">
      <c r="B1126" s="80">
        <v>1118</v>
      </c>
      <c r="C1126" s="84" t="s">
        <v>1327</v>
      </c>
      <c r="D1126" s="82" t="s">
        <v>1328</v>
      </c>
      <c r="E1126" s="83">
        <v>8816</v>
      </c>
      <c r="F1126" s="83" t="s">
        <v>28</v>
      </c>
      <c r="G1126" s="83" t="s">
        <v>46</v>
      </c>
      <c r="H1126" s="83" t="s">
        <v>14</v>
      </c>
      <c r="I1126" s="83" t="s">
        <v>13</v>
      </c>
      <c r="J1126" s="83">
        <v>40</v>
      </c>
      <c r="K1126" s="83"/>
      <c r="L1126" s="83" t="s">
        <v>26</v>
      </c>
      <c r="M1126" s="83" t="s">
        <v>49</v>
      </c>
      <c r="N1126" s="85">
        <v>45993</v>
      </c>
      <c r="O1126" s="86" t="s">
        <v>25</v>
      </c>
      <c r="P1126" s="85" t="s">
        <v>0</v>
      </c>
      <c r="Q1126" s="91"/>
      <c r="R1126" s="87"/>
      <c r="S1126" s="75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  <c r="AE1126" s="29"/>
      <c r="AF1126" s="29"/>
      <c r="AG1126" s="29"/>
      <c r="AH1126" s="29"/>
      <c r="AI1126" s="29"/>
      <c r="AJ1126" s="29"/>
      <c r="AK1126" s="29"/>
    </row>
    <row r="1127" spans="2:37" ht="16.2" x14ac:dyDescent="0.3">
      <c r="B1127" s="80">
        <v>1119</v>
      </c>
      <c r="C1127" s="84" t="s">
        <v>1329</v>
      </c>
      <c r="D1127" s="82" t="s">
        <v>1330</v>
      </c>
      <c r="E1127" s="83">
        <v>8817</v>
      </c>
      <c r="F1127" s="83" t="s">
        <v>16</v>
      </c>
      <c r="G1127" s="83" t="s">
        <v>161</v>
      </c>
      <c r="H1127" s="83" t="s">
        <v>14</v>
      </c>
      <c r="I1127" s="83" t="s">
        <v>281</v>
      </c>
      <c r="J1127" s="83">
        <v>50</v>
      </c>
      <c r="K1127" s="83"/>
      <c r="L1127" s="83" t="s">
        <v>26</v>
      </c>
      <c r="M1127" s="83" t="s">
        <v>49</v>
      </c>
      <c r="N1127" s="85">
        <v>45993</v>
      </c>
      <c r="O1127" s="86" t="s">
        <v>25</v>
      </c>
      <c r="P1127" s="85" t="s">
        <v>20</v>
      </c>
      <c r="Q1127" s="91">
        <v>995888855</v>
      </c>
      <c r="R1127" s="87"/>
      <c r="S1127" s="75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  <c r="AE1127" s="29"/>
      <c r="AF1127" s="29"/>
      <c r="AG1127" s="29"/>
      <c r="AH1127" s="29"/>
      <c r="AI1127" s="29"/>
      <c r="AJ1127" s="29"/>
      <c r="AK1127" s="29"/>
    </row>
    <row r="1128" spans="2:37" ht="16.2" x14ac:dyDescent="0.3">
      <c r="B1128" s="80">
        <v>1120</v>
      </c>
      <c r="C1128" s="84" t="s">
        <v>693</v>
      </c>
      <c r="D1128" s="82" t="s">
        <v>692</v>
      </c>
      <c r="E1128" s="83">
        <v>8818</v>
      </c>
      <c r="F1128" s="83" t="s">
        <v>28</v>
      </c>
      <c r="G1128" s="83" t="s">
        <v>301</v>
      </c>
      <c r="H1128" s="83" t="s">
        <v>14</v>
      </c>
      <c r="I1128" s="83" t="s">
        <v>21</v>
      </c>
      <c r="J1128" s="83">
        <v>100</v>
      </c>
      <c r="K1128" s="83"/>
      <c r="L1128" s="83" t="s">
        <v>12</v>
      </c>
      <c r="M1128" s="83" t="s">
        <v>11</v>
      </c>
      <c r="N1128" s="85">
        <v>45994</v>
      </c>
      <c r="O1128" s="86" t="s">
        <v>25</v>
      </c>
      <c r="P1128" s="85" t="s">
        <v>20</v>
      </c>
      <c r="Q1128" s="91" t="s">
        <v>691</v>
      </c>
      <c r="R1128" s="87"/>
      <c r="S1128" s="75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29"/>
      <c r="AE1128" s="29"/>
      <c r="AF1128" s="29"/>
      <c r="AG1128" s="29"/>
      <c r="AH1128" s="29"/>
      <c r="AI1128" s="29"/>
      <c r="AJ1128" s="29"/>
      <c r="AK1128" s="29"/>
    </row>
    <row r="1129" spans="2:37" ht="16.2" x14ac:dyDescent="0.3">
      <c r="B1129" s="80">
        <v>1121</v>
      </c>
      <c r="C1129" s="84" t="s">
        <v>108</v>
      </c>
      <c r="D1129" s="82" t="s">
        <v>107</v>
      </c>
      <c r="E1129" s="83">
        <v>8819</v>
      </c>
      <c r="F1129" s="83" t="s">
        <v>16</v>
      </c>
      <c r="G1129" s="83" t="s">
        <v>106</v>
      </c>
      <c r="H1129" s="83" t="s">
        <v>14</v>
      </c>
      <c r="I1129" s="83" t="s">
        <v>21</v>
      </c>
      <c r="J1129" s="83">
        <v>100</v>
      </c>
      <c r="K1129" s="84"/>
      <c r="L1129" s="83" t="s">
        <v>26</v>
      </c>
      <c r="M1129" s="83" t="s">
        <v>11</v>
      </c>
      <c r="N1129" s="85">
        <v>45994</v>
      </c>
      <c r="O1129" s="86" t="s">
        <v>25</v>
      </c>
      <c r="P1129" s="85" t="s">
        <v>20</v>
      </c>
      <c r="Q1129" s="91">
        <v>990200018</v>
      </c>
      <c r="R1129" s="87"/>
      <c r="S1129" s="75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29"/>
      <c r="AE1129" s="29"/>
      <c r="AF1129" s="29"/>
      <c r="AG1129" s="29"/>
      <c r="AH1129" s="29"/>
      <c r="AI1129" s="29"/>
      <c r="AJ1129" s="29"/>
      <c r="AK1129" s="29"/>
    </row>
    <row r="1130" spans="2:37" ht="16.2" x14ac:dyDescent="0.3">
      <c r="B1130" s="80">
        <v>1122</v>
      </c>
      <c r="C1130" s="84" t="s">
        <v>1054</v>
      </c>
      <c r="D1130" s="82" t="s">
        <v>1055</v>
      </c>
      <c r="E1130" s="83">
        <v>8820</v>
      </c>
      <c r="F1130" s="83" t="s">
        <v>28</v>
      </c>
      <c r="G1130" s="83" t="s">
        <v>161</v>
      </c>
      <c r="H1130" s="83" t="s">
        <v>14</v>
      </c>
      <c r="I1130" s="83" t="s">
        <v>21</v>
      </c>
      <c r="J1130" s="83">
        <v>80</v>
      </c>
      <c r="K1130" s="84"/>
      <c r="L1130" s="83" t="s">
        <v>12</v>
      </c>
      <c r="M1130" s="83" t="s">
        <v>11</v>
      </c>
      <c r="N1130" s="85">
        <v>45994</v>
      </c>
      <c r="O1130" s="86" t="s">
        <v>25</v>
      </c>
      <c r="P1130" s="85" t="s">
        <v>20</v>
      </c>
      <c r="Q1130" s="91">
        <v>854690442</v>
      </c>
      <c r="R1130" s="87"/>
      <c r="S1130" s="75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  <c r="AE1130" s="29"/>
      <c r="AF1130" s="29"/>
      <c r="AG1130" s="29"/>
      <c r="AH1130" s="29"/>
      <c r="AI1130" s="29"/>
      <c r="AJ1130" s="29"/>
      <c r="AK1130" s="29"/>
    </row>
    <row r="1131" spans="2:37" ht="16.2" x14ac:dyDescent="0.3">
      <c r="B1131" s="80">
        <v>1123</v>
      </c>
      <c r="C1131" s="84" t="s">
        <v>507</v>
      </c>
      <c r="D1131" s="82" t="s">
        <v>506</v>
      </c>
      <c r="E1131" s="83">
        <v>8821</v>
      </c>
      <c r="F1131" s="83" t="s">
        <v>16</v>
      </c>
      <c r="G1131" s="84" t="s">
        <v>140</v>
      </c>
      <c r="H1131" s="83" t="s">
        <v>14</v>
      </c>
      <c r="I1131" s="83" t="s">
        <v>21</v>
      </c>
      <c r="J1131" s="83">
        <v>55</v>
      </c>
      <c r="K1131" s="84"/>
      <c r="L1131" s="83" t="s">
        <v>12</v>
      </c>
      <c r="M1131" s="83" t="s">
        <v>11</v>
      </c>
      <c r="N1131" s="85">
        <v>45994</v>
      </c>
      <c r="O1131" s="86" t="s">
        <v>25</v>
      </c>
      <c r="P1131" s="85" t="s">
        <v>20</v>
      </c>
      <c r="Q1131" s="91">
        <v>854690442</v>
      </c>
      <c r="R1131" s="87"/>
      <c r="S1131" s="75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  <c r="AE1131" s="29"/>
      <c r="AF1131" s="29"/>
      <c r="AG1131" s="29"/>
      <c r="AH1131" s="29"/>
      <c r="AI1131" s="29"/>
      <c r="AJ1131" s="29"/>
      <c r="AK1131" s="29"/>
    </row>
    <row r="1132" spans="2:37" ht="16.2" x14ac:dyDescent="0.3">
      <c r="B1132" s="80">
        <v>1124</v>
      </c>
      <c r="C1132" s="84" t="s">
        <v>800</v>
      </c>
      <c r="D1132" s="82" t="s">
        <v>799</v>
      </c>
      <c r="E1132" s="83">
        <v>8822</v>
      </c>
      <c r="F1132" s="83" t="s">
        <v>28</v>
      </c>
      <c r="G1132" s="83" t="s">
        <v>375</v>
      </c>
      <c r="H1132" s="83" t="s">
        <v>14</v>
      </c>
      <c r="I1132" s="83" t="s">
        <v>21</v>
      </c>
      <c r="J1132" s="83">
        <v>45</v>
      </c>
      <c r="K1132" s="84"/>
      <c r="L1132" s="83" t="s">
        <v>26</v>
      </c>
      <c r="M1132" s="83" t="s">
        <v>11</v>
      </c>
      <c r="N1132" s="85">
        <v>45994</v>
      </c>
      <c r="O1132" s="86" t="s">
        <v>10</v>
      </c>
      <c r="P1132" s="85" t="s">
        <v>20</v>
      </c>
      <c r="Q1132" s="91"/>
      <c r="R1132" s="87"/>
      <c r="S1132" s="75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  <c r="AE1132" s="29"/>
      <c r="AF1132" s="29"/>
      <c r="AG1132" s="29"/>
      <c r="AH1132" s="29"/>
      <c r="AI1132" s="29"/>
      <c r="AJ1132" s="29"/>
      <c r="AK1132" s="29"/>
    </row>
    <row r="1133" spans="2:37" ht="16.2" x14ac:dyDescent="0.3">
      <c r="B1133" s="80">
        <v>1125</v>
      </c>
      <c r="C1133" s="84" t="s">
        <v>459</v>
      </c>
      <c r="D1133" s="82" t="s">
        <v>458</v>
      </c>
      <c r="E1133" s="83">
        <v>8823</v>
      </c>
      <c r="F1133" s="83" t="s">
        <v>28</v>
      </c>
      <c r="G1133" s="83" t="s">
        <v>22</v>
      </c>
      <c r="H1133" s="83" t="s">
        <v>14</v>
      </c>
      <c r="I1133" s="83" t="s">
        <v>21</v>
      </c>
      <c r="J1133" s="83">
        <v>45</v>
      </c>
      <c r="K1133" s="84"/>
      <c r="L1133" s="83" t="s">
        <v>12</v>
      </c>
      <c r="M1133" s="83" t="s">
        <v>11</v>
      </c>
      <c r="N1133" s="85">
        <v>45994</v>
      </c>
      <c r="O1133" s="86" t="s">
        <v>10</v>
      </c>
      <c r="P1133" s="85" t="s">
        <v>20</v>
      </c>
      <c r="Q1133" s="91"/>
      <c r="R1133" s="87"/>
      <c r="S1133" s="75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  <c r="AE1133" s="29"/>
      <c r="AF1133" s="29"/>
      <c r="AG1133" s="29"/>
      <c r="AH1133" s="29"/>
      <c r="AI1133" s="29"/>
      <c r="AJ1133" s="29"/>
      <c r="AK1133" s="29"/>
    </row>
    <row r="1134" spans="2:37" ht="16.2" x14ac:dyDescent="0.3">
      <c r="B1134" s="80">
        <v>1126</v>
      </c>
      <c r="C1134" s="84" t="s">
        <v>457</v>
      </c>
      <c r="D1134" s="82" t="s">
        <v>456</v>
      </c>
      <c r="E1134" s="83">
        <v>8824</v>
      </c>
      <c r="F1134" s="83" t="s">
        <v>16</v>
      </c>
      <c r="G1134" s="83" t="s">
        <v>201</v>
      </c>
      <c r="H1134" s="83" t="s">
        <v>14</v>
      </c>
      <c r="I1134" s="83" t="s">
        <v>21</v>
      </c>
      <c r="J1134" s="83">
        <v>40</v>
      </c>
      <c r="K1134" s="84"/>
      <c r="L1134" s="83" t="s">
        <v>26</v>
      </c>
      <c r="M1134" s="83" t="s">
        <v>11</v>
      </c>
      <c r="N1134" s="85">
        <v>45994</v>
      </c>
      <c r="O1134" s="86" t="s">
        <v>10</v>
      </c>
      <c r="P1134" s="85" t="s">
        <v>9</v>
      </c>
      <c r="Q1134" s="91">
        <v>995520608</v>
      </c>
      <c r="R1134" s="87"/>
      <c r="S1134" s="75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  <c r="AE1134" s="29"/>
      <c r="AF1134" s="29"/>
      <c r="AG1134" s="29"/>
      <c r="AH1134" s="29"/>
      <c r="AI1134" s="29"/>
      <c r="AJ1134" s="29"/>
      <c r="AK1134" s="29"/>
    </row>
    <row r="1135" spans="2:37" ht="16.2" x14ac:dyDescent="0.3">
      <c r="B1135" s="80">
        <v>1127</v>
      </c>
      <c r="C1135" s="84" t="s">
        <v>455</v>
      </c>
      <c r="D1135" s="82" t="s">
        <v>454</v>
      </c>
      <c r="E1135" s="83">
        <v>8825</v>
      </c>
      <c r="F1135" s="83" t="s">
        <v>28</v>
      </c>
      <c r="G1135" s="84" t="s">
        <v>50</v>
      </c>
      <c r="H1135" s="83" t="s">
        <v>14</v>
      </c>
      <c r="I1135" s="83" t="s">
        <v>21</v>
      </c>
      <c r="J1135" s="83">
        <v>40</v>
      </c>
      <c r="K1135" s="84"/>
      <c r="L1135" s="83" t="s">
        <v>26</v>
      </c>
      <c r="M1135" s="83" t="s">
        <v>11</v>
      </c>
      <c r="N1135" s="85">
        <v>45994</v>
      </c>
      <c r="O1135" s="86" t="s">
        <v>10</v>
      </c>
      <c r="P1135" s="85" t="s">
        <v>9</v>
      </c>
      <c r="Q1135" s="91">
        <v>995520608</v>
      </c>
      <c r="R1135" s="87"/>
      <c r="S1135" s="75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  <c r="AE1135" s="29"/>
      <c r="AF1135" s="29"/>
      <c r="AG1135" s="29"/>
      <c r="AH1135" s="29"/>
      <c r="AI1135" s="29"/>
      <c r="AJ1135" s="29"/>
      <c r="AK1135" s="29"/>
    </row>
    <row r="1136" spans="2:37" ht="16.2" x14ac:dyDescent="0.3">
      <c r="B1136" s="80">
        <v>1128</v>
      </c>
      <c r="C1136" s="84" t="s">
        <v>597</v>
      </c>
      <c r="D1136" s="82" t="s">
        <v>596</v>
      </c>
      <c r="E1136" s="83">
        <v>8826</v>
      </c>
      <c r="F1136" s="83" t="s">
        <v>28</v>
      </c>
      <c r="G1136" s="83" t="s">
        <v>83</v>
      </c>
      <c r="H1136" s="83" t="s">
        <v>14</v>
      </c>
      <c r="I1136" s="83" t="s">
        <v>21</v>
      </c>
      <c r="J1136" s="83">
        <v>40</v>
      </c>
      <c r="K1136" s="84"/>
      <c r="L1136" s="83" t="s">
        <v>26</v>
      </c>
      <c r="M1136" s="83" t="s">
        <v>11</v>
      </c>
      <c r="N1136" s="85">
        <v>45994</v>
      </c>
      <c r="O1136" s="86" t="s">
        <v>10</v>
      </c>
      <c r="P1136" s="85" t="s">
        <v>9</v>
      </c>
      <c r="Q1136" s="91">
        <v>970932676</v>
      </c>
      <c r="R1136" s="87"/>
      <c r="S1136" s="75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29"/>
      <c r="AE1136" s="29"/>
      <c r="AF1136" s="29"/>
      <c r="AG1136" s="29"/>
      <c r="AH1136" s="29"/>
      <c r="AI1136" s="29"/>
      <c r="AJ1136" s="29"/>
      <c r="AK1136" s="29"/>
    </row>
    <row r="1137" spans="2:37" ht="16.2" x14ac:dyDescent="0.3">
      <c r="B1137" s="80">
        <v>1129</v>
      </c>
      <c r="C1137" s="84" t="s">
        <v>601</v>
      </c>
      <c r="D1137" s="82" t="s">
        <v>600</v>
      </c>
      <c r="E1137" s="83">
        <v>8827</v>
      </c>
      <c r="F1137" s="83" t="s">
        <v>16</v>
      </c>
      <c r="G1137" s="83" t="s">
        <v>50</v>
      </c>
      <c r="H1137" s="83" t="s">
        <v>14</v>
      </c>
      <c r="I1137" s="83" t="s">
        <v>21</v>
      </c>
      <c r="J1137" s="83">
        <v>40</v>
      </c>
      <c r="K1137" s="84"/>
      <c r="L1137" s="83" t="s">
        <v>26</v>
      </c>
      <c r="M1137" s="83" t="s">
        <v>11</v>
      </c>
      <c r="N1137" s="85">
        <v>45994</v>
      </c>
      <c r="O1137" s="86" t="s">
        <v>10</v>
      </c>
      <c r="P1137" s="85" t="s">
        <v>9</v>
      </c>
      <c r="Q1137" s="91">
        <v>970932676</v>
      </c>
      <c r="R1137" s="87"/>
      <c r="S1137" s="75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  <c r="AE1137" s="29"/>
      <c r="AF1137" s="29"/>
      <c r="AG1137" s="29"/>
      <c r="AH1137" s="29"/>
      <c r="AI1137" s="29"/>
      <c r="AJ1137" s="29"/>
      <c r="AK1137" s="29"/>
    </row>
    <row r="1138" spans="2:37" ht="16.2" x14ac:dyDescent="0.3">
      <c r="B1138" s="80">
        <v>1130</v>
      </c>
      <c r="C1138" s="84" t="s">
        <v>603</v>
      </c>
      <c r="D1138" s="82" t="s">
        <v>602</v>
      </c>
      <c r="E1138" s="83">
        <v>8828</v>
      </c>
      <c r="F1138" s="83" t="s">
        <v>16</v>
      </c>
      <c r="G1138" s="83" t="s">
        <v>77</v>
      </c>
      <c r="H1138" s="83" t="s">
        <v>14</v>
      </c>
      <c r="I1138" s="83" t="s">
        <v>785</v>
      </c>
      <c r="J1138" s="83">
        <v>20</v>
      </c>
      <c r="K1138" s="84"/>
      <c r="L1138" s="83" t="s">
        <v>26</v>
      </c>
      <c r="M1138" s="83" t="s">
        <v>11</v>
      </c>
      <c r="N1138" s="85">
        <v>45994</v>
      </c>
      <c r="O1138" s="86" t="s">
        <v>10</v>
      </c>
      <c r="P1138" s="85" t="s">
        <v>0</v>
      </c>
      <c r="Q1138" s="91">
        <v>970932676</v>
      </c>
      <c r="R1138" s="87"/>
      <c r="S1138" s="75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29"/>
      <c r="AE1138" s="29"/>
      <c r="AF1138" s="29"/>
      <c r="AG1138" s="29"/>
      <c r="AH1138" s="29"/>
      <c r="AI1138" s="29"/>
      <c r="AJ1138" s="29"/>
      <c r="AK1138" s="29"/>
    </row>
    <row r="1139" spans="2:37" ht="16.2" x14ac:dyDescent="0.3">
      <c r="B1139" s="80">
        <v>1131</v>
      </c>
      <c r="C1139" s="84" t="s">
        <v>793</v>
      </c>
      <c r="D1139" s="82" t="s">
        <v>792</v>
      </c>
      <c r="E1139" s="83">
        <v>8829</v>
      </c>
      <c r="F1139" s="83" t="s">
        <v>16</v>
      </c>
      <c r="G1139" s="83" t="s">
        <v>46</v>
      </c>
      <c r="H1139" s="83" t="s">
        <v>14</v>
      </c>
      <c r="I1139" s="83" t="s">
        <v>21</v>
      </c>
      <c r="J1139" s="83">
        <v>40</v>
      </c>
      <c r="K1139" s="84"/>
      <c r="L1139" s="83" t="s">
        <v>26</v>
      </c>
      <c r="M1139" s="83" t="s">
        <v>11</v>
      </c>
      <c r="N1139" s="85">
        <v>45994</v>
      </c>
      <c r="O1139" s="86" t="s">
        <v>10</v>
      </c>
      <c r="P1139" s="85" t="s">
        <v>0</v>
      </c>
      <c r="Q1139" s="91">
        <v>992347717</v>
      </c>
      <c r="R1139" s="87"/>
      <c r="S1139" s="75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  <c r="AE1139" s="29"/>
      <c r="AF1139" s="29"/>
      <c r="AG1139" s="29"/>
      <c r="AH1139" s="29"/>
      <c r="AI1139" s="29"/>
      <c r="AJ1139" s="29"/>
      <c r="AK1139" s="29"/>
    </row>
    <row r="1140" spans="2:37" ht="16.2" x14ac:dyDescent="0.3">
      <c r="B1140" s="80">
        <v>1132</v>
      </c>
      <c r="C1140" s="84" t="s">
        <v>770</v>
      </c>
      <c r="D1140" s="82" t="s">
        <v>769</v>
      </c>
      <c r="E1140" s="83">
        <v>8830</v>
      </c>
      <c r="F1140" s="83" t="s">
        <v>28</v>
      </c>
      <c r="G1140" s="83" t="s">
        <v>106</v>
      </c>
      <c r="H1140" s="83" t="s">
        <v>14</v>
      </c>
      <c r="I1140" s="83" t="s">
        <v>21</v>
      </c>
      <c r="J1140" s="83">
        <v>100</v>
      </c>
      <c r="K1140" s="84"/>
      <c r="L1140" s="83" t="s">
        <v>12</v>
      </c>
      <c r="M1140" s="83" t="s">
        <v>11</v>
      </c>
      <c r="N1140" s="85">
        <v>45994</v>
      </c>
      <c r="O1140" s="86" t="s">
        <v>25</v>
      </c>
      <c r="P1140" s="85" t="s">
        <v>20</v>
      </c>
      <c r="Q1140" s="91">
        <v>814001138</v>
      </c>
      <c r="R1140" s="87"/>
      <c r="S1140" s="75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  <c r="AE1140" s="29"/>
      <c r="AF1140" s="29"/>
      <c r="AG1140" s="29"/>
      <c r="AH1140" s="29"/>
      <c r="AI1140" s="29"/>
      <c r="AJ1140" s="29"/>
      <c r="AK1140" s="29"/>
    </row>
    <row r="1141" spans="2:37" ht="16.2" x14ac:dyDescent="0.3">
      <c r="B1141" s="80">
        <v>1133</v>
      </c>
      <c r="C1141" s="84" t="s">
        <v>1014</v>
      </c>
      <c r="D1141" s="82" t="s">
        <v>1015</v>
      </c>
      <c r="E1141" s="83">
        <v>8831</v>
      </c>
      <c r="F1141" s="83" t="s">
        <v>16</v>
      </c>
      <c r="G1141" s="83" t="s">
        <v>37</v>
      </c>
      <c r="H1141" s="83" t="s">
        <v>14</v>
      </c>
      <c r="I1141" s="83" t="s">
        <v>21</v>
      </c>
      <c r="J1141" s="83">
        <v>45</v>
      </c>
      <c r="K1141" s="84"/>
      <c r="L1141" s="83" t="s">
        <v>12</v>
      </c>
      <c r="M1141" s="83" t="s">
        <v>11</v>
      </c>
      <c r="N1141" s="85">
        <v>45994</v>
      </c>
      <c r="O1141" s="86" t="s">
        <v>10</v>
      </c>
      <c r="P1141" s="85" t="s">
        <v>20</v>
      </c>
      <c r="Q1141" s="91" t="s">
        <v>1016</v>
      </c>
      <c r="R1141" s="87"/>
      <c r="S1141" s="75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9"/>
      <c r="AD1141" s="29"/>
      <c r="AE1141" s="29"/>
      <c r="AF1141" s="29"/>
      <c r="AG1141" s="29"/>
      <c r="AH1141" s="29"/>
      <c r="AI1141" s="29"/>
      <c r="AJ1141" s="29"/>
      <c r="AK1141" s="29"/>
    </row>
    <row r="1142" spans="2:37" ht="16.2" x14ac:dyDescent="0.3">
      <c r="B1142" s="80">
        <v>1134</v>
      </c>
      <c r="C1142" s="84" t="s">
        <v>773</v>
      </c>
      <c r="D1142" s="82" t="s">
        <v>772</v>
      </c>
      <c r="E1142" s="83">
        <v>8832</v>
      </c>
      <c r="F1142" s="83" t="s">
        <v>16</v>
      </c>
      <c r="G1142" s="84" t="s">
        <v>201</v>
      </c>
      <c r="H1142" s="83" t="s">
        <v>14</v>
      </c>
      <c r="I1142" s="83" t="s">
        <v>21</v>
      </c>
      <c r="J1142" s="83">
        <v>40</v>
      </c>
      <c r="K1142" s="84"/>
      <c r="L1142" s="83" t="s">
        <v>12</v>
      </c>
      <c r="M1142" s="83" t="s">
        <v>11</v>
      </c>
      <c r="N1142" s="85">
        <v>45994</v>
      </c>
      <c r="O1142" s="86" t="s">
        <v>10</v>
      </c>
      <c r="P1142" s="85" t="s">
        <v>9</v>
      </c>
      <c r="Q1142" s="91" t="s">
        <v>771</v>
      </c>
      <c r="R1142" s="87"/>
      <c r="S1142" s="75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9"/>
      <c r="AD1142" s="29"/>
      <c r="AE1142" s="29"/>
      <c r="AF1142" s="29"/>
      <c r="AG1142" s="29"/>
      <c r="AH1142" s="29"/>
      <c r="AI1142" s="29"/>
      <c r="AJ1142" s="29"/>
      <c r="AK1142" s="29"/>
    </row>
    <row r="1143" spans="2:37" ht="16.2" x14ac:dyDescent="0.3">
      <c r="B1143" s="80">
        <v>1135</v>
      </c>
      <c r="C1143" s="84" t="s">
        <v>773</v>
      </c>
      <c r="D1143" s="82" t="s">
        <v>772</v>
      </c>
      <c r="E1143" s="83">
        <v>8833</v>
      </c>
      <c r="F1143" s="83" t="s">
        <v>16</v>
      </c>
      <c r="G1143" s="83" t="s">
        <v>201</v>
      </c>
      <c r="H1143" s="83" t="s">
        <v>14</v>
      </c>
      <c r="I1143" s="83" t="s">
        <v>93</v>
      </c>
      <c r="J1143" s="83">
        <v>40</v>
      </c>
      <c r="K1143" s="84"/>
      <c r="L1143" s="83" t="s">
        <v>12</v>
      </c>
      <c r="M1143" s="83" t="s">
        <v>11</v>
      </c>
      <c r="N1143" s="85">
        <v>45994</v>
      </c>
      <c r="O1143" s="86" t="s">
        <v>10</v>
      </c>
      <c r="P1143" s="85" t="s">
        <v>9</v>
      </c>
      <c r="Q1143" s="91" t="s">
        <v>771</v>
      </c>
      <c r="R1143" s="87"/>
      <c r="S1143" s="75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  <c r="AE1143" s="29"/>
      <c r="AF1143" s="29"/>
      <c r="AG1143" s="29"/>
      <c r="AH1143" s="29"/>
      <c r="AI1143" s="29"/>
      <c r="AJ1143" s="29"/>
      <c r="AK1143" s="29"/>
    </row>
    <row r="1144" spans="2:37" ht="16.2" x14ac:dyDescent="0.3">
      <c r="B1144" s="80">
        <v>1136</v>
      </c>
      <c r="C1144" s="84" t="s">
        <v>727</v>
      </c>
      <c r="D1144" s="82" t="s">
        <v>726</v>
      </c>
      <c r="E1144" s="83">
        <v>8834</v>
      </c>
      <c r="F1144" s="83" t="s">
        <v>16</v>
      </c>
      <c r="G1144" s="83" t="s">
        <v>237</v>
      </c>
      <c r="H1144" s="83" t="s">
        <v>14</v>
      </c>
      <c r="I1144" s="83" t="s">
        <v>1059</v>
      </c>
      <c r="J1144" s="83">
        <v>15</v>
      </c>
      <c r="K1144" s="84"/>
      <c r="L1144" s="83" t="s">
        <v>12</v>
      </c>
      <c r="M1144" s="83" t="s">
        <v>11</v>
      </c>
      <c r="N1144" s="85">
        <v>45994</v>
      </c>
      <c r="O1144" s="86" t="s">
        <v>10</v>
      </c>
      <c r="P1144" s="85" t="s">
        <v>20</v>
      </c>
      <c r="Q1144" s="91" t="s">
        <v>725</v>
      </c>
      <c r="R1144" s="87"/>
      <c r="S1144" s="75"/>
      <c r="T1144" s="29"/>
      <c r="U1144" s="29"/>
      <c r="V1144" s="29"/>
      <c r="W1144" s="29"/>
      <c r="X1144" s="29"/>
      <c r="Y1144" s="29"/>
      <c r="Z1144" s="29"/>
      <c r="AA1144" s="29"/>
      <c r="AB1144" s="29"/>
      <c r="AC1144" s="29"/>
      <c r="AD1144" s="29"/>
      <c r="AE1144" s="29"/>
      <c r="AF1144" s="29"/>
      <c r="AG1144" s="29"/>
      <c r="AH1144" s="29"/>
      <c r="AI1144" s="29"/>
      <c r="AJ1144" s="29"/>
      <c r="AK1144" s="29"/>
    </row>
    <row r="1145" spans="2:37" ht="16.2" x14ac:dyDescent="0.3">
      <c r="B1145" s="80">
        <v>1137</v>
      </c>
      <c r="C1145" s="84" t="s">
        <v>727</v>
      </c>
      <c r="D1145" s="82" t="s">
        <v>726</v>
      </c>
      <c r="E1145" s="83">
        <v>8835</v>
      </c>
      <c r="F1145" s="83" t="s">
        <v>16</v>
      </c>
      <c r="G1145" s="83" t="s">
        <v>237</v>
      </c>
      <c r="H1145" s="83" t="s">
        <v>14</v>
      </c>
      <c r="I1145" s="83" t="s">
        <v>21</v>
      </c>
      <c r="J1145" s="83">
        <v>55</v>
      </c>
      <c r="K1145" s="84"/>
      <c r="L1145" s="83" t="s">
        <v>12</v>
      </c>
      <c r="M1145" s="83" t="s">
        <v>11</v>
      </c>
      <c r="N1145" s="85">
        <v>45994</v>
      </c>
      <c r="O1145" s="86" t="s">
        <v>10</v>
      </c>
      <c r="P1145" s="85" t="s">
        <v>20</v>
      </c>
      <c r="Q1145" s="91" t="s">
        <v>725</v>
      </c>
      <c r="R1145" s="87"/>
      <c r="S1145" s="75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9"/>
      <c r="AD1145" s="29"/>
      <c r="AE1145" s="29"/>
      <c r="AF1145" s="29"/>
      <c r="AG1145" s="29"/>
      <c r="AH1145" s="29"/>
      <c r="AI1145" s="29"/>
      <c r="AJ1145" s="29"/>
      <c r="AK1145" s="29"/>
    </row>
    <row r="1146" spans="2:37" ht="16.2" x14ac:dyDescent="0.3">
      <c r="B1146" s="80">
        <v>1138</v>
      </c>
      <c r="C1146" s="84" t="s">
        <v>729</v>
      </c>
      <c r="D1146" s="82" t="s">
        <v>728</v>
      </c>
      <c r="E1146" s="83">
        <v>8836</v>
      </c>
      <c r="F1146" s="83" t="s">
        <v>28</v>
      </c>
      <c r="G1146" s="83" t="s">
        <v>201</v>
      </c>
      <c r="H1146" s="83" t="s">
        <v>14</v>
      </c>
      <c r="I1146" s="83" t="s">
        <v>21</v>
      </c>
      <c r="J1146" s="83">
        <v>40</v>
      </c>
      <c r="K1146" s="83"/>
      <c r="L1146" s="83" t="s">
        <v>12</v>
      </c>
      <c r="M1146" s="83" t="s">
        <v>11</v>
      </c>
      <c r="N1146" s="85">
        <v>45994</v>
      </c>
      <c r="O1146" s="86" t="s">
        <v>10</v>
      </c>
      <c r="P1146" s="85" t="s">
        <v>9</v>
      </c>
      <c r="Q1146" s="91" t="s">
        <v>725</v>
      </c>
      <c r="R1146" s="87"/>
      <c r="S1146" s="75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  <c r="AE1146" s="29"/>
      <c r="AF1146" s="29"/>
      <c r="AG1146" s="29"/>
      <c r="AH1146" s="29"/>
      <c r="AI1146" s="29"/>
      <c r="AJ1146" s="29"/>
      <c r="AK1146" s="29"/>
    </row>
    <row r="1147" spans="2:37" ht="16.2" x14ac:dyDescent="0.3">
      <c r="B1147" s="80">
        <v>1139</v>
      </c>
      <c r="C1147" s="84" t="s">
        <v>1025</v>
      </c>
      <c r="D1147" s="82" t="s">
        <v>622</v>
      </c>
      <c r="E1147" s="83">
        <v>8837</v>
      </c>
      <c r="F1147" s="83" t="s">
        <v>28</v>
      </c>
      <c r="G1147" s="84" t="s">
        <v>57</v>
      </c>
      <c r="H1147" s="83" t="s">
        <v>14</v>
      </c>
      <c r="I1147" s="83" t="s">
        <v>922</v>
      </c>
      <c r="J1147" s="83">
        <v>45</v>
      </c>
      <c r="K1147" s="83"/>
      <c r="L1147" s="83" t="s">
        <v>26</v>
      </c>
      <c r="M1147" s="83" t="s">
        <v>11</v>
      </c>
      <c r="N1147" s="85">
        <v>45994</v>
      </c>
      <c r="O1147" s="86" t="s">
        <v>25</v>
      </c>
      <c r="P1147" s="85" t="s">
        <v>20</v>
      </c>
      <c r="Q1147" s="91">
        <v>998933830</v>
      </c>
      <c r="R1147" s="87"/>
      <c r="S1147" s="75"/>
      <c r="T1147" s="29"/>
      <c r="U1147" s="29"/>
      <c r="V1147" s="29"/>
      <c r="W1147" s="29"/>
      <c r="X1147" s="29"/>
      <c r="Y1147" s="29"/>
      <c r="Z1147" s="29"/>
      <c r="AA1147" s="29"/>
      <c r="AB1147" s="29"/>
      <c r="AC1147" s="29"/>
      <c r="AD1147" s="29"/>
      <c r="AE1147" s="29"/>
      <c r="AF1147" s="29"/>
      <c r="AG1147" s="29"/>
      <c r="AH1147" s="29"/>
      <c r="AI1147" s="29"/>
      <c r="AJ1147" s="29"/>
      <c r="AK1147" s="29"/>
    </row>
    <row r="1148" spans="2:37" ht="16.2" x14ac:dyDescent="0.3">
      <c r="B1148" s="80">
        <v>1140</v>
      </c>
      <c r="C1148" s="84" t="s">
        <v>1025</v>
      </c>
      <c r="D1148" s="82" t="s">
        <v>622</v>
      </c>
      <c r="E1148" s="83">
        <v>8838</v>
      </c>
      <c r="F1148" s="83" t="s">
        <v>28</v>
      </c>
      <c r="G1148" s="83" t="s">
        <v>57</v>
      </c>
      <c r="H1148" s="83" t="s">
        <v>14</v>
      </c>
      <c r="I1148" s="83" t="s">
        <v>923</v>
      </c>
      <c r="J1148" s="83">
        <v>45</v>
      </c>
      <c r="K1148" s="83"/>
      <c r="L1148" s="83" t="s">
        <v>26</v>
      </c>
      <c r="M1148" s="83" t="s">
        <v>11</v>
      </c>
      <c r="N1148" s="85">
        <v>45994</v>
      </c>
      <c r="O1148" s="86" t="s">
        <v>25</v>
      </c>
      <c r="P1148" s="85" t="s">
        <v>20</v>
      </c>
      <c r="Q1148" s="91">
        <v>998933830</v>
      </c>
      <c r="R1148" s="87"/>
      <c r="S1148" s="75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9"/>
      <c r="AD1148" s="29"/>
      <c r="AE1148" s="29"/>
      <c r="AF1148" s="29"/>
      <c r="AG1148" s="29"/>
      <c r="AH1148" s="29"/>
      <c r="AI1148" s="29"/>
      <c r="AJ1148" s="29"/>
      <c r="AK1148" s="29"/>
    </row>
    <row r="1149" spans="2:37" ht="16.2" x14ac:dyDescent="0.3">
      <c r="B1149" s="80">
        <v>1141</v>
      </c>
      <c r="C1149" s="84" t="s">
        <v>1331</v>
      </c>
      <c r="D1149" s="82" t="s">
        <v>1332</v>
      </c>
      <c r="E1149" s="83">
        <v>8839</v>
      </c>
      <c r="F1149" s="83" t="s">
        <v>28</v>
      </c>
      <c r="G1149" s="83" t="s">
        <v>37</v>
      </c>
      <c r="H1149" s="83" t="s">
        <v>14</v>
      </c>
      <c r="I1149" s="83" t="s">
        <v>21</v>
      </c>
      <c r="J1149" s="83">
        <v>45</v>
      </c>
      <c r="K1149" s="83"/>
      <c r="L1149" s="83" t="s">
        <v>26</v>
      </c>
      <c r="M1149" s="83" t="s">
        <v>11</v>
      </c>
      <c r="N1149" s="85">
        <v>45994</v>
      </c>
      <c r="O1149" s="86" t="s">
        <v>25</v>
      </c>
      <c r="P1149" s="85" t="s">
        <v>20</v>
      </c>
      <c r="Q1149" s="91">
        <v>901860876</v>
      </c>
      <c r="R1149" s="87"/>
      <c r="S1149" s="75"/>
      <c r="T1149" s="29"/>
      <c r="U1149" s="29"/>
      <c r="V1149" s="29"/>
      <c r="W1149" s="29"/>
      <c r="X1149" s="29"/>
      <c r="Y1149" s="29"/>
      <c r="Z1149" s="29"/>
      <c r="AA1149" s="29"/>
      <c r="AB1149" s="29"/>
      <c r="AC1149" s="29"/>
      <c r="AD1149" s="29"/>
      <c r="AE1149" s="29"/>
      <c r="AF1149" s="29"/>
      <c r="AG1149" s="29"/>
      <c r="AH1149" s="29"/>
      <c r="AI1149" s="29"/>
      <c r="AJ1149" s="29"/>
      <c r="AK1149" s="29"/>
    </row>
    <row r="1150" spans="2:37" ht="16.2" x14ac:dyDescent="0.3">
      <c r="B1150" s="80">
        <v>1142</v>
      </c>
      <c r="C1150" s="84" t="s">
        <v>632</v>
      </c>
      <c r="D1150" s="82" t="s">
        <v>631</v>
      </c>
      <c r="E1150" s="83">
        <v>8842</v>
      </c>
      <c r="F1150" s="83" t="s">
        <v>16</v>
      </c>
      <c r="G1150" s="83" t="s">
        <v>97</v>
      </c>
      <c r="H1150" s="83" t="s">
        <v>14</v>
      </c>
      <c r="I1150" s="83" t="s">
        <v>21</v>
      </c>
      <c r="J1150" s="83">
        <v>100</v>
      </c>
      <c r="K1150" s="83"/>
      <c r="L1150" s="83" t="s">
        <v>12</v>
      </c>
      <c r="M1150" s="83" t="s">
        <v>11</v>
      </c>
      <c r="N1150" s="85">
        <v>45994</v>
      </c>
      <c r="O1150" s="86" t="s">
        <v>25</v>
      </c>
      <c r="P1150" s="85" t="s">
        <v>20</v>
      </c>
      <c r="Q1150" s="91">
        <v>993792484</v>
      </c>
      <c r="R1150" s="87"/>
      <c r="S1150" s="75"/>
      <c r="T1150" s="29"/>
      <c r="U1150" s="29"/>
      <c r="V1150" s="29"/>
      <c r="W1150" s="29"/>
      <c r="X1150" s="29"/>
      <c r="Y1150" s="29"/>
      <c r="Z1150" s="29"/>
      <c r="AA1150" s="29"/>
      <c r="AB1150" s="29"/>
      <c r="AC1150" s="29"/>
      <c r="AD1150" s="29"/>
      <c r="AE1150" s="29"/>
      <c r="AF1150" s="29"/>
      <c r="AG1150" s="29"/>
      <c r="AH1150" s="29"/>
      <c r="AI1150" s="29"/>
      <c r="AJ1150" s="29"/>
      <c r="AK1150" s="29"/>
    </row>
    <row r="1151" spans="2:37" ht="16.2" x14ac:dyDescent="0.3">
      <c r="B1151" s="80">
        <v>1143</v>
      </c>
      <c r="C1151" s="84" t="s">
        <v>1001</v>
      </c>
      <c r="D1151" s="82" t="s">
        <v>1002</v>
      </c>
      <c r="E1151" s="83">
        <v>8843</v>
      </c>
      <c r="F1151" s="83" t="s">
        <v>16</v>
      </c>
      <c r="G1151" s="83" t="s">
        <v>140</v>
      </c>
      <c r="H1151" s="83" t="s">
        <v>14</v>
      </c>
      <c r="I1151" s="83" t="s">
        <v>21</v>
      </c>
      <c r="J1151" s="83">
        <v>55</v>
      </c>
      <c r="K1151" s="83"/>
      <c r="L1151" s="83" t="s">
        <v>12</v>
      </c>
      <c r="M1151" s="83" t="s">
        <v>112</v>
      </c>
      <c r="N1151" s="85">
        <v>45995</v>
      </c>
      <c r="O1151" s="86" t="s">
        <v>10</v>
      </c>
      <c r="P1151" s="85" t="s">
        <v>20</v>
      </c>
      <c r="Q1151" s="91">
        <v>894388110</v>
      </c>
      <c r="R1151" s="87"/>
      <c r="S1151" s="75"/>
      <c r="T1151" s="29"/>
      <c r="U1151" s="29"/>
      <c r="V1151" s="29"/>
      <c r="W1151" s="29"/>
      <c r="X1151" s="29"/>
      <c r="Y1151" s="29"/>
      <c r="Z1151" s="29"/>
      <c r="AA1151" s="29"/>
      <c r="AB1151" s="29"/>
      <c r="AC1151" s="29"/>
      <c r="AD1151" s="29"/>
      <c r="AE1151" s="29"/>
      <c r="AF1151" s="29"/>
      <c r="AG1151" s="29"/>
      <c r="AH1151" s="29"/>
      <c r="AI1151" s="29"/>
      <c r="AJ1151" s="29"/>
      <c r="AK1151" s="29"/>
    </row>
    <row r="1152" spans="2:37" ht="16.2" x14ac:dyDescent="0.3">
      <c r="B1152" s="80">
        <v>1144</v>
      </c>
      <c r="C1152" s="84" t="s">
        <v>572</v>
      </c>
      <c r="D1152" s="82" t="s">
        <v>571</v>
      </c>
      <c r="E1152" s="83">
        <v>8844</v>
      </c>
      <c r="F1152" s="83" t="s">
        <v>16</v>
      </c>
      <c r="G1152" s="83" t="s">
        <v>375</v>
      </c>
      <c r="H1152" s="83" t="s">
        <v>14</v>
      </c>
      <c r="I1152" s="83" t="s">
        <v>21</v>
      </c>
      <c r="J1152" s="83">
        <v>40</v>
      </c>
      <c r="K1152" s="83"/>
      <c r="L1152" s="83" t="s">
        <v>12</v>
      </c>
      <c r="M1152" s="83" t="s">
        <v>112</v>
      </c>
      <c r="N1152" s="85">
        <v>45995</v>
      </c>
      <c r="O1152" s="86" t="s">
        <v>10</v>
      </c>
      <c r="P1152" s="85" t="s">
        <v>20</v>
      </c>
      <c r="Q1152" s="91"/>
      <c r="R1152" s="87"/>
      <c r="S1152" s="75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9"/>
      <c r="AD1152" s="29"/>
      <c r="AE1152" s="29"/>
      <c r="AF1152" s="29"/>
      <c r="AG1152" s="29"/>
      <c r="AH1152" s="29"/>
      <c r="AI1152" s="29"/>
      <c r="AJ1152" s="29"/>
      <c r="AK1152" s="29"/>
    </row>
    <row r="1153" spans="2:37" ht="16.2" x14ac:dyDescent="0.3">
      <c r="B1153" s="80">
        <v>1145</v>
      </c>
      <c r="C1153" s="84" t="s">
        <v>87</v>
      </c>
      <c r="D1153" s="82" t="s">
        <v>86</v>
      </c>
      <c r="E1153" s="83">
        <v>8845</v>
      </c>
      <c r="F1153" s="83" t="s">
        <v>16</v>
      </c>
      <c r="G1153" s="83" t="s">
        <v>15</v>
      </c>
      <c r="H1153" s="83" t="s">
        <v>14</v>
      </c>
      <c r="I1153" s="83" t="s">
        <v>21</v>
      </c>
      <c r="J1153" s="83">
        <v>35</v>
      </c>
      <c r="K1153" s="83"/>
      <c r="L1153" s="83" t="s">
        <v>26</v>
      </c>
      <c r="M1153" s="83" t="s">
        <v>112</v>
      </c>
      <c r="N1153" s="85">
        <v>45995</v>
      </c>
      <c r="O1153" s="86" t="s">
        <v>10</v>
      </c>
      <c r="P1153" s="85" t="s">
        <v>9</v>
      </c>
      <c r="Q1153" s="91"/>
      <c r="R1153" s="87"/>
      <c r="S1153" s="75"/>
      <c r="T1153" s="29"/>
      <c r="U1153" s="29"/>
      <c r="V1153" s="29"/>
      <c r="W1153" s="29"/>
      <c r="X1153" s="29"/>
      <c r="Y1153" s="29"/>
      <c r="Z1153" s="29"/>
      <c r="AA1153" s="29"/>
      <c r="AB1153" s="29"/>
      <c r="AC1153" s="29"/>
      <c r="AD1153" s="29"/>
      <c r="AE1153" s="29"/>
      <c r="AF1153" s="29"/>
      <c r="AG1153" s="29"/>
      <c r="AH1153" s="29"/>
      <c r="AI1153" s="29"/>
      <c r="AJ1153" s="29"/>
      <c r="AK1153" s="29"/>
    </row>
    <row r="1154" spans="2:37" ht="16.2" x14ac:dyDescent="0.3">
      <c r="B1154" s="80">
        <v>1146</v>
      </c>
      <c r="C1154" s="84" t="s">
        <v>76</v>
      </c>
      <c r="D1154" s="82" t="s">
        <v>75</v>
      </c>
      <c r="E1154" s="83">
        <v>8846</v>
      </c>
      <c r="F1154" s="83" t="s">
        <v>16</v>
      </c>
      <c r="G1154" s="84" t="s">
        <v>31</v>
      </c>
      <c r="H1154" s="83" t="s">
        <v>14</v>
      </c>
      <c r="I1154" s="83" t="s">
        <v>21</v>
      </c>
      <c r="J1154" s="83">
        <v>45</v>
      </c>
      <c r="K1154" s="83"/>
      <c r="L1154" s="83" t="s">
        <v>26</v>
      </c>
      <c r="M1154" s="83" t="s">
        <v>112</v>
      </c>
      <c r="N1154" s="85">
        <v>45995</v>
      </c>
      <c r="O1154" s="86" t="s">
        <v>25</v>
      </c>
      <c r="P1154" s="85" t="s">
        <v>20</v>
      </c>
      <c r="Q1154" s="91">
        <v>978174447</v>
      </c>
      <c r="R1154" s="87"/>
      <c r="S1154" s="75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  <c r="AE1154" s="29"/>
      <c r="AF1154" s="29"/>
      <c r="AG1154" s="29"/>
      <c r="AH1154" s="29"/>
      <c r="AI1154" s="29"/>
      <c r="AJ1154" s="29"/>
      <c r="AK1154" s="29"/>
    </row>
    <row r="1155" spans="2:37" ht="16.2" x14ac:dyDescent="0.3">
      <c r="B1155" s="80">
        <v>1147</v>
      </c>
      <c r="C1155" s="84" t="s">
        <v>747</v>
      </c>
      <c r="D1155" s="82" t="s">
        <v>746</v>
      </c>
      <c r="E1155" s="83">
        <v>8847</v>
      </c>
      <c r="F1155" s="83" t="s">
        <v>16</v>
      </c>
      <c r="G1155" s="83" t="s">
        <v>34</v>
      </c>
      <c r="H1155" s="83" t="s">
        <v>14</v>
      </c>
      <c r="I1155" s="83" t="s">
        <v>21</v>
      </c>
      <c r="J1155" s="83">
        <v>55</v>
      </c>
      <c r="K1155" s="83"/>
      <c r="L1155" s="83" t="s">
        <v>26</v>
      </c>
      <c r="M1155" s="83" t="s">
        <v>112</v>
      </c>
      <c r="N1155" s="85">
        <v>45995</v>
      </c>
      <c r="O1155" s="86" t="s">
        <v>10</v>
      </c>
      <c r="P1155" s="85" t="s">
        <v>20</v>
      </c>
      <c r="Q1155" s="91">
        <v>892771212</v>
      </c>
      <c r="R1155" s="87"/>
      <c r="S1155" s="75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  <c r="AE1155" s="29"/>
      <c r="AF1155" s="29"/>
      <c r="AG1155" s="29"/>
      <c r="AH1155" s="29"/>
      <c r="AI1155" s="29"/>
      <c r="AJ1155" s="29"/>
      <c r="AK1155" s="29"/>
    </row>
    <row r="1156" spans="2:37" ht="16.2" x14ac:dyDescent="0.3">
      <c r="B1156" s="80">
        <v>1148</v>
      </c>
      <c r="C1156" s="84" t="s">
        <v>850</v>
      </c>
      <c r="D1156" s="82" t="s">
        <v>851</v>
      </c>
      <c r="E1156" s="83">
        <v>8848</v>
      </c>
      <c r="F1156" s="83" t="s">
        <v>28</v>
      </c>
      <c r="G1156" s="83" t="s">
        <v>124</v>
      </c>
      <c r="H1156" s="83" t="s">
        <v>14</v>
      </c>
      <c r="I1156" s="83" t="s">
        <v>21</v>
      </c>
      <c r="J1156" s="83">
        <v>55</v>
      </c>
      <c r="K1156" s="83"/>
      <c r="L1156" s="83" t="s">
        <v>26</v>
      </c>
      <c r="M1156" s="83" t="s">
        <v>112</v>
      </c>
      <c r="N1156" s="85">
        <v>45995</v>
      </c>
      <c r="O1156" s="86" t="s">
        <v>25</v>
      </c>
      <c r="P1156" s="85" t="s">
        <v>20</v>
      </c>
      <c r="Q1156" s="91"/>
      <c r="R1156" s="87"/>
      <c r="S1156" s="75"/>
      <c r="T1156" s="29"/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  <c r="AE1156" s="29"/>
      <c r="AF1156" s="29"/>
      <c r="AG1156" s="29"/>
      <c r="AH1156" s="29"/>
      <c r="AI1156" s="29"/>
      <c r="AJ1156" s="29"/>
      <c r="AK1156" s="29"/>
    </row>
    <row r="1157" spans="2:37" ht="16.2" x14ac:dyDescent="0.3">
      <c r="B1157" s="80">
        <v>1149</v>
      </c>
      <c r="C1157" s="84" t="s">
        <v>503</v>
      </c>
      <c r="D1157" s="82" t="s">
        <v>502</v>
      </c>
      <c r="E1157" s="83">
        <v>8849</v>
      </c>
      <c r="F1157" s="83" t="s">
        <v>16</v>
      </c>
      <c r="G1157" s="83" t="s">
        <v>22</v>
      </c>
      <c r="H1157" s="83" t="s">
        <v>14</v>
      </c>
      <c r="I1157" s="83" t="s">
        <v>21</v>
      </c>
      <c r="J1157" s="83">
        <v>45</v>
      </c>
      <c r="K1157" s="83"/>
      <c r="L1157" s="83" t="s">
        <v>26</v>
      </c>
      <c r="M1157" s="83" t="s">
        <v>112</v>
      </c>
      <c r="N1157" s="85">
        <v>45995</v>
      </c>
      <c r="O1157" s="86" t="s">
        <v>10</v>
      </c>
      <c r="P1157" s="85" t="s">
        <v>20</v>
      </c>
      <c r="Q1157" s="91">
        <v>811853442</v>
      </c>
      <c r="R1157" s="87"/>
      <c r="S1157" s="75"/>
      <c r="T1157" s="29"/>
      <c r="U1157" s="29"/>
      <c r="V1157" s="29"/>
      <c r="W1157" s="29"/>
      <c r="X1157" s="29"/>
      <c r="Y1157" s="29"/>
      <c r="Z1157" s="29"/>
      <c r="AA1157" s="29"/>
      <c r="AB1157" s="29"/>
      <c r="AC1157" s="29"/>
      <c r="AD1157" s="29"/>
      <c r="AE1157" s="29"/>
      <c r="AF1157" s="29"/>
      <c r="AG1157" s="29"/>
      <c r="AH1157" s="29"/>
      <c r="AI1157" s="29"/>
      <c r="AJ1157" s="29"/>
      <c r="AK1157" s="29"/>
    </row>
    <row r="1158" spans="2:37" ht="16.2" x14ac:dyDescent="0.3">
      <c r="B1158" s="80">
        <v>1150</v>
      </c>
      <c r="C1158" s="84" t="s">
        <v>434</v>
      </c>
      <c r="D1158" s="82" t="s">
        <v>433</v>
      </c>
      <c r="E1158" s="83">
        <v>8850</v>
      </c>
      <c r="F1158" s="83" t="s">
        <v>28</v>
      </c>
      <c r="G1158" s="84" t="s">
        <v>68</v>
      </c>
      <c r="H1158" s="83" t="s">
        <v>14</v>
      </c>
      <c r="I1158" s="83" t="s">
        <v>21</v>
      </c>
      <c r="J1158" s="83">
        <v>55</v>
      </c>
      <c r="K1158" s="83"/>
      <c r="L1158" s="83" t="s">
        <v>12</v>
      </c>
      <c r="M1158" s="83" t="s">
        <v>112</v>
      </c>
      <c r="N1158" s="85">
        <v>45995</v>
      </c>
      <c r="O1158" s="86" t="s">
        <v>25</v>
      </c>
      <c r="P1158" s="85" t="s">
        <v>20</v>
      </c>
      <c r="Q1158" s="91">
        <v>997658653</v>
      </c>
      <c r="R1158" s="87"/>
      <c r="S1158" s="75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9"/>
      <c r="AD1158" s="29"/>
      <c r="AE1158" s="29"/>
      <c r="AF1158" s="29"/>
      <c r="AG1158" s="29"/>
      <c r="AH1158" s="29"/>
      <c r="AI1158" s="29"/>
      <c r="AJ1158" s="29"/>
      <c r="AK1158" s="29"/>
    </row>
    <row r="1159" spans="2:37" ht="16.2" x14ac:dyDescent="0.3">
      <c r="B1159" s="80">
        <v>1151</v>
      </c>
      <c r="C1159" s="84" t="s">
        <v>872</v>
      </c>
      <c r="D1159" s="82" t="s">
        <v>873</v>
      </c>
      <c r="E1159" s="83">
        <v>8851</v>
      </c>
      <c r="F1159" s="83" t="s">
        <v>28</v>
      </c>
      <c r="G1159" s="83" t="s">
        <v>97</v>
      </c>
      <c r="H1159" s="83" t="s">
        <v>14</v>
      </c>
      <c r="I1159" s="83" t="s">
        <v>13</v>
      </c>
      <c r="J1159" s="83">
        <v>100</v>
      </c>
      <c r="K1159" s="83"/>
      <c r="L1159" s="83" t="s">
        <v>12</v>
      </c>
      <c r="M1159" s="83" t="s">
        <v>112</v>
      </c>
      <c r="N1159" s="85">
        <v>45995</v>
      </c>
      <c r="O1159" s="86" t="s">
        <v>25</v>
      </c>
      <c r="P1159" s="85" t="s">
        <v>20</v>
      </c>
      <c r="Q1159" s="91">
        <v>978555251</v>
      </c>
      <c r="R1159" s="87"/>
      <c r="S1159" s="75"/>
      <c r="T1159" s="29"/>
      <c r="U1159" s="29"/>
      <c r="V1159" s="29"/>
      <c r="W1159" s="29"/>
      <c r="X1159" s="29"/>
      <c r="Y1159" s="29"/>
      <c r="Z1159" s="29"/>
      <c r="AA1159" s="29"/>
      <c r="AB1159" s="29"/>
      <c r="AC1159" s="29"/>
      <c r="AD1159" s="29"/>
      <c r="AE1159" s="29"/>
      <c r="AF1159" s="29"/>
      <c r="AG1159" s="29"/>
      <c r="AH1159" s="29"/>
      <c r="AI1159" s="29"/>
      <c r="AJ1159" s="29"/>
      <c r="AK1159" s="29"/>
    </row>
    <row r="1160" spans="2:37" ht="16.2" x14ac:dyDescent="0.3">
      <c r="B1160" s="80">
        <v>1152</v>
      </c>
      <c r="C1160" s="84" t="s">
        <v>1017</v>
      </c>
      <c r="D1160" s="82" t="s">
        <v>1018</v>
      </c>
      <c r="E1160" s="83">
        <v>8852</v>
      </c>
      <c r="F1160" s="83" t="s">
        <v>28</v>
      </c>
      <c r="G1160" s="83" t="s">
        <v>46</v>
      </c>
      <c r="H1160" s="83" t="s">
        <v>14</v>
      </c>
      <c r="I1160" s="83" t="s">
        <v>21</v>
      </c>
      <c r="J1160" s="83">
        <v>40</v>
      </c>
      <c r="K1160" s="83"/>
      <c r="L1160" s="83" t="s">
        <v>26</v>
      </c>
      <c r="M1160" s="83" t="s">
        <v>112</v>
      </c>
      <c r="N1160" s="85">
        <v>45995</v>
      </c>
      <c r="O1160" s="86" t="s">
        <v>10</v>
      </c>
      <c r="P1160" s="85" t="s">
        <v>0</v>
      </c>
      <c r="Q1160" s="91">
        <v>997233237</v>
      </c>
      <c r="R1160" s="87"/>
      <c r="S1160" s="75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9"/>
      <c r="AD1160" s="29"/>
      <c r="AE1160" s="29"/>
      <c r="AF1160" s="29"/>
      <c r="AG1160" s="29"/>
      <c r="AH1160" s="29"/>
      <c r="AI1160" s="29"/>
      <c r="AJ1160" s="29"/>
      <c r="AK1160" s="29"/>
    </row>
    <row r="1161" spans="2:37" ht="16.2" x14ac:dyDescent="0.3">
      <c r="B1161" s="80">
        <v>1153</v>
      </c>
      <c r="C1161" s="97" t="s">
        <v>781</v>
      </c>
      <c r="D1161" s="104" t="s">
        <v>780</v>
      </c>
      <c r="E1161" s="105">
        <v>8853</v>
      </c>
      <c r="F1161" s="97" t="s">
        <v>28</v>
      </c>
      <c r="G1161" s="97" t="s">
        <v>133</v>
      </c>
      <c r="H1161" s="97" t="s">
        <v>14</v>
      </c>
      <c r="I1161" s="97" t="s">
        <v>21</v>
      </c>
      <c r="J1161" s="97">
        <v>40</v>
      </c>
      <c r="K1161" s="97"/>
      <c r="L1161" s="97" t="s">
        <v>26</v>
      </c>
      <c r="M1161" s="97" t="s">
        <v>112</v>
      </c>
      <c r="N1161" s="85">
        <v>45995</v>
      </c>
      <c r="O1161" s="86" t="s">
        <v>10</v>
      </c>
      <c r="P1161" s="97" t="s">
        <v>9</v>
      </c>
      <c r="Q1161" s="91"/>
      <c r="R1161" s="91"/>
      <c r="S1161" s="75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  <c r="AE1161" s="29"/>
      <c r="AF1161" s="29"/>
      <c r="AG1161" s="29"/>
      <c r="AH1161" s="29"/>
      <c r="AI1161" s="29"/>
      <c r="AJ1161" s="29"/>
      <c r="AK1161" s="29"/>
    </row>
    <row r="1162" spans="2:37" ht="16.2" x14ac:dyDescent="0.3">
      <c r="B1162" s="80">
        <v>1154</v>
      </c>
      <c r="C1162" s="84" t="s">
        <v>779</v>
      </c>
      <c r="D1162" s="82" t="s">
        <v>778</v>
      </c>
      <c r="E1162" s="83">
        <v>8854</v>
      </c>
      <c r="F1162" s="83" t="s">
        <v>28</v>
      </c>
      <c r="G1162" s="83" t="s">
        <v>80</v>
      </c>
      <c r="H1162" s="83" t="s">
        <v>14</v>
      </c>
      <c r="I1162" s="83" t="s">
        <v>21</v>
      </c>
      <c r="J1162" s="83">
        <v>40</v>
      </c>
      <c r="K1162" s="83"/>
      <c r="L1162" s="83" t="s">
        <v>26</v>
      </c>
      <c r="M1162" s="83" t="s">
        <v>112</v>
      </c>
      <c r="N1162" s="85">
        <v>45995</v>
      </c>
      <c r="O1162" s="86" t="s">
        <v>10</v>
      </c>
      <c r="P1162" s="85" t="s">
        <v>9</v>
      </c>
      <c r="Q1162" s="91"/>
      <c r="R1162" s="87"/>
      <c r="S1162" s="75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9"/>
      <c r="AD1162" s="29"/>
      <c r="AE1162" s="29"/>
      <c r="AF1162" s="29"/>
      <c r="AG1162" s="29"/>
      <c r="AH1162" s="29"/>
      <c r="AI1162" s="29"/>
      <c r="AJ1162" s="29"/>
      <c r="AK1162" s="29"/>
    </row>
    <row r="1163" spans="2:37" ht="16.2" x14ac:dyDescent="0.3">
      <c r="B1163" s="80">
        <v>1155</v>
      </c>
      <c r="C1163" s="84" t="s">
        <v>1041</v>
      </c>
      <c r="D1163" s="82" t="s">
        <v>1042</v>
      </c>
      <c r="E1163" s="83">
        <v>8855</v>
      </c>
      <c r="F1163" s="83" t="s">
        <v>16</v>
      </c>
      <c r="G1163" s="83" t="s">
        <v>77</v>
      </c>
      <c r="H1163" s="83" t="s">
        <v>14</v>
      </c>
      <c r="I1163" s="83" t="s">
        <v>21</v>
      </c>
      <c r="J1163" s="83">
        <v>40</v>
      </c>
      <c r="K1163" s="83"/>
      <c r="L1163" s="83" t="s">
        <v>26</v>
      </c>
      <c r="M1163" s="83" t="s">
        <v>112</v>
      </c>
      <c r="N1163" s="85">
        <v>45995</v>
      </c>
      <c r="O1163" s="86" t="s">
        <v>25</v>
      </c>
      <c r="P1163" s="85" t="s">
        <v>0</v>
      </c>
      <c r="Q1163" s="91"/>
      <c r="R1163" s="87"/>
      <c r="S1163" s="75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</row>
    <row r="1164" spans="2:37" ht="16.2" x14ac:dyDescent="0.3">
      <c r="B1164" s="80">
        <v>1156</v>
      </c>
      <c r="C1164" s="84" t="s">
        <v>777</v>
      </c>
      <c r="D1164" s="82" t="s">
        <v>776</v>
      </c>
      <c r="E1164" s="83">
        <v>8856</v>
      </c>
      <c r="F1164" s="83" t="s">
        <v>16</v>
      </c>
      <c r="G1164" s="83" t="s">
        <v>46</v>
      </c>
      <c r="H1164" s="83" t="s">
        <v>14</v>
      </c>
      <c r="I1164" s="83" t="s">
        <v>21</v>
      </c>
      <c r="J1164" s="83">
        <v>40</v>
      </c>
      <c r="K1164" s="83"/>
      <c r="L1164" s="83" t="s">
        <v>26</v>
      </c>
      <c r="M1164" s="83" t="s">
        <v>112</v>
      </c>
      <c r="N1164" s="85">
        <v>45995</v>
      </c>
      <c r="O1164" s="86" t="s">
        <v>10</v>
      </c>
      <c r="P1164" s="85" t="s">
        <v>0</v>
      </c>
      <c r="Q1164" s="91"/>
      <c r="R1164" s="87"/>
      <c r="S1164" s="75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  <c r="AE1164" s="29"/>
      <c r="AF1164" s="29"/>
      <c r="AG1164" s="29"/>
      <c r="AH1164" s="29"/>
      <c r="AI1164" s="29"/>
      <c r="AJ1164" s="29"/>
      <c r="AK1164" s="29"/>
    </row>
    <row r="1165" spans="2:37" ht="16.2" x14ac:dyDescent="0.3">
      <c r="B1165" s="80">
        <v>1157</v>
      </c>
      <c r="C1165" s="84" t="s">
        <v>374</v>
      </c>
      <c r="D1165" s="82" t="s">
        <v>373</v>
      </c>
      <c r="E1165" s="83">
        <v>8857</v>
      </c>
      <c r="F1165" s="83" t="s">
        <v>16</v>
      </c>
      <c r="G1165" s="84" t="s">
        <v>22</v>
      </c>
      <c r="H1165" s="83" t="s">
        <v>14</v>
      </c>
      <c r="I1165" s="83" t="s">
        <v>21</v>
      </c>
      <c r="J1165" s="83">
        <v>45</v>
      </c>
      <c r="K1165" s="83"/>
      <c r="L1165" s="83" t="s">
        <v>26</v>
      </c>
      <c r="M1165" s="83" t="s">
        <v>112</v>
      </c>
      <c r="N1165" s="85">
        <v>45995</v>
      </c>
      <c r="O1165" s="86" t="s">
        <v>10</v>
      </c>
      <c r="P1165" s="85" t="s">
        <v>20</v>
      </c>
      <c r="Q1165" s="91">
        <v>970377001</v>
      </c>
      <c r="R1165" s="87"/>
      <c r="S1165" s="75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/>
      <c r="AE1165" s="29"/>
      <c r="AF1165" s="29"/>
      <c r="AG1165" s="29"/>
      <c r="AH1165" s="29"/>
      <c r="AI1165" s="29"/>
      <c r="AJ1165" s="29"/>
      <c r="AK1165" s="29"/>
    </row>
    <row r="1166" spans="2:37" ht="16.2" x14ac:dyDescent="0.3">
      <c r="B1166" s="80">
        <v>1158</v>
      </c>
      <c r="C1166" s="84" t="s">
        <v>377</v>
      </c>
      <c r="D1166" s="82" t="s">
        <v>376</v>
      </c>
      <c r="E1166" s="83">
        <v>8858</v>
      </c>
      <c r="F1166" s="83" t="s">
        <v>16</v>
      </c>
      <c r="G1166" s="83" t="s">
        <v>375</v>
      </c>
      <c r="H1166" s="83" t="s">
        <v>14</v>
      </c>
      <c r="I1166" s="83" t="s">
        <v>21</v>
      </c>
      <c r="J1166" s="83">
        <v>45</v>
      </c>
      <c r="K1166" s="83"/>
      <c r="L1166" s="83" t="s">
        <v>12</v>
      </c>
      <c r="M1166" s="83" t="s">
        <v>112</v>
      </c>
      <c r="N1166" s="85">
        <v>45995</v>
      </c>
      <c r="O1166" s="86" t="s">
        <v>10</v>
      </c>
      <c r="P1166" s="85" t="s">
        <v>20</v>
      </c>
      <c r="Q1166" s="91">
        <v>970377001</v>
      </c>
      <c r="R1166" s="87"/>
      <c r="S1166" s="75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9"/>
      <c r="AD1166" s="29"/>
      <c r="AE1166" s="29"/>
      <c r="AF1166" s="29"/>
      <c r="AG1166" s="29"/>
      <c r="AH1166" s="29"/>
      <c r="AI1166" s="29"/>
      <c r="AJ1166" s="29"/>
      <c r="AK1166" s="29"/>
    </row>
    <row r="1167" spans="2:37" ht="16.2" x14ac:dyDescent="0.3">
      <c r="B1167" s="80">
        <v>1159</v>
      </c>
      <c r="C1167" s="84" t="s">
        <v>190</v>
      </c>
      <c r="D1167" s="82" t="s">
        <v>189</v>
      </c>
      <c r="E1167" s="83">
        <v>8860</v>
      </c>
      <c r="F1167" s="83" t="s">
        <v>28</v>
      </c>
      <c r="G1167" s="83" t="s">
        <v>100</v>
      </c>
      <c r="H1167" s="83" t="s">
        <v>14</v>
      </c>
      <c r="I1167" s="83" t="s">
        <v>103</v>
      </c>
      <c r="J1167" s="83">
        <v>1</v>
      </c>
      <c r="K1167" s="83">
        <v>1.1599999999999999</v>
      </c>
      <c r="L1167" s="83" t="s">
        <v>12</v>
      </c>
      <c r="M1167" s="83" t="s">
        <v>112</v>
      </c>
      <c r="N1167" s="85">
        <v>45995</v>
      </c>
      <c r="O1167" s="86" t="s">
        <v>10</v>
      </c>
      <c r="P1167" s="85" t="s">
        <v>20</v>
      </c>
      <c r="Q1167" s="91" t="s">
        <v>188</v>
      </c>
      <c r="R1167" s="87"/>
      <c r="S1167" s="75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9"/>
      <c r="AD1167" s="29"/>
      <c r="AE1167" s="29"/>
      <c r="AF1167" s="29"/>
      <c r="AG1167" s="29"/>
      <c r="AH1167" s="29"/>
      <c r="AI1167" s="29"/>
      <c r="AJ1167" s="29"/>
      <c r="AK1167" s="29"/>
    </row>
    <row r="1168" spans="2:37" ht="16.2" x14ac:dyDescent="0.3">
      <c r="B1168" s="80">
        <v>1160</v>
      </c>
      <c r="C1168" s="84" t="s">
        <v>190</v>
      </c>
      <c r="D1168" s="82" t="s">
        <v>189</v>
      </c>
      <c r="E1168" s="83">
        <v>8861</v>
      </c>
      <c r="F1168" s="83" t="s">
        <v>28</v>
      </c>
      <c r="G1168" s="83" t="s">
        <v>100</v>
      </c>
      <c r="H1168" s="83" t="s">
        <v>14</v>
      </c>
      <c r="I1168" s="83" t="s">
        <v>1059</v>
      </c>
      <c r="J1168" s="83">
        <v>5</v>
      </c>
      <c r="K1168" s="84"/>
      <c r="L1168" s="83" t="s">
        <v>12</v>
      </c>
      <c r="M1168" s="83" t="s">
        <v>112</v>
      </c>
      <c r="N1168" s="85">
        <v>45995</v>
      </c>
      <c r="O1168" s="86" t="s">
        <v>10</v>
      </c>
      <c r="P1168" s="85" t="s">
        <v>20</v>
      </c>
      <c r="Q1168" s="91" t="s">
        <v>188</v>
      </c>
      <c r="R1168" s="87"/>
      <c r="S1168" s="75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9"/>
      <c r="AD1168" s="29"/>
      <c r="AE1168" s="29"/>
      <c r="AF1168" s="29"/>
      <c r="AG1168" s="29"/>
      <c r="AH1168" s="29"/>
      <c r="AI1168" s="29"/>
      <c r="AJ1168" s="29"/>
      <c r="AK1168" s="29"/>
    </row>
    <row r="1169" spans="2:37" ht="16.2" x14ac:dyDescent="0.3">
      <c r="B1169" s="80">
        <v>1161</v>
      </c>
      <c r="C1169" s="84" t="s">
        <v>190</v>
      </c>
      <c r="D1169" s="82" t="s">
        <v>189</v>
      </c>
      <c r="E1169" s="83">
        <v>8862</v>
      </c>
      <c r="F1169" s="83" t="s">
        <v>28</v>
      </c>
      <c r="G1169" s="83" t="s">
        <v>100</v>
      </c>
      <c r="H1169" s="83" t="s">
        <v>14</v>
      </c>
      <c r="I1169" s="83" t="s">
        <v>785</v>
      </c>
      <c r="J1169" s="83">
        <v>50.34</v>
      </c>
      <c r="K1169" s="84"/>
      <c r="L1169" s="83" t="s">
        <v>12</v>
      </c>
      <c r="M1169" s="83" t="s">
        <v>112</v>
      </c>
      <c r="N1169" s="85">
        <v>45995</v>
      </c>
      <c r="O1169" s="86" t="s">
        <v>10</v>
      </c>
      <c r="P1169" s="85" t="s">
        <v>20</v>
      </c>
      <c r="Q1169" s="91" t="s">
        <v>188</v>
      </c>
      <c r="R1169" s="87"/>
      <c r="S1169" s="75"/>
      <c r="T1169" s="29"/>
      <c r="U1169" s="29"/>
      <c r="V1169" s="29"/>
      <c r="W1169" s="29"/>
      <c r="X1169" s="29"/>
      <c r="Y1169" s="29"/>
      <c r="Z1169" s="29"/>
      <c r="AA1169" s="29"/>
      <c r="AB1169" s="29"/>
      <c r="AC1169" s="29"/>
      <c r="AD1169" s="29"/>
      <c r="AE1169" s="29"/>
      <c r="AF1169" s="29"/>
      <c r="AG1169" s="29"/>
      <c r="AH1169" s="29"/>
      <c r="AI1169" s="29"/>
      <c r="AJ1169" s="29"/>
      <c r="AK1169" s="29"/>
    </row>
    <row r="1170" spans="2:37" ht="16.2" x14ac:dyDescent="0.3">
      <c r="B1170" s="80">
        <v>1162</v>
      </c>
      <c r="C1170" s="84" t="s">
        <v>630</v>
      </c>
      <c r="D1170" s="82" t="s">
        <v>629</v>
      </c>
      <c r="E1170" s="83">
        <v>8863</v>
      </c>
      <c r="F1170" s="83" t="s">
        <v>16</v>
      </c>
      <c r="G1170" s="83" t="s">
        <v>133</v>
      </c>
      <c r="H1170" s="83" t="s">
        <v>14</v>
      </c>
      <c r="I1170" s="83" t="s">
        <v>21</v>
      </c>
      <c r="J1170" s="83">
        <v>35</v>
      </c>
      <c r="K1170" s="84"/>
      <c r="L1170" s="83" t="s">
        <v>12</v>
      </c>
      <c r="M1170" s="83" t="s">
        <v>112</v>
      </c>
      <c r="N1170" s="85">
        <v>45995</v>
      </c>
      <c r="O1170" s="86" t="s">
        <v>10</v>
      </c>
      <c r="P1170" s="85" t="s">
        <v>9</v>
      </c>
      <c r="Q1170" s="91">
        <v>844557773</v>
      </c>
      <c r="R1170" s="87"/>
      <c r="S1170" s="75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29"/>
      <c r="AH1170" s="29"/>
      <c r="AI1170" s="29"/>
      <c r="AJ1170" s="29"/>
      <c r="AK1170" s="29"/>
    </row>
    <row r="1171" spans="2:37" ht="16.2" x14ac:dyDescent="0.3">
      <c r="B1171" s="80">
        <v>1163</v>
      </c>
      <c r="C1171" s="84" t="s">
        <v>438</v>
      </c>
      <c r="D1171" s="82" t="s">
        <v>437</v>
      </c>
      <c r="E1171" s="83">
        <v>8864</v>
      </c>
      <c r="F1171" s="83" t="s">
        <v>16</v>
      </c>
      <c r="G1171" s="83" t="s">
        <v>164</v>
      </c>
      <c r="H1171" s="83" t="s">
        <v>14</v>
      </c>
      <c r="I1171" s="83" t="s">
        <v>21</v>
      </c>
      <c r="J1171" s="83">
        <v>100</v>
      </c>
      <c r="K1171" s="84"/>
      <c r="L1171" s="83" t="s">
        <v>12</v>
      </c>
      <c r="M1171" s="83" t="s">
        <v>112</v>
      </c>
      <c r="N1171" s="85">
        <v>45995</v>
      </c>
      <c r="O1171" s="86" t="s">
        <v>25</v>
      </c>
      <c r="P1171" s="85" t="s">
        <v>20</v>
      </c>
      <c r="Q1171" s="91">
        <v>902666303</v>
      </c>
      <c r="R1171" s="87"/>
      <c r="S1171" s="75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9"/>
      <c r="AD1171" s="29"/>
      <c r="AE1171" s="29"/>
      <c r="AF1171" s="29"/>
      <c r="AG1171" s="29"/>
      <c r="AH1171" s="29"/>
      <c r="AI1171" s="29"/>
      <c r="AJ1171" s="29"/>
      <c r="AK1171" s="29"/>
    </row>
    <row r="1172" spans="2:37" ht="16.2" x14ac:dyDescent="0.3">
      <c r="B1172" s="80">
        <v>1164</v>
      </c>
      <c r="C1172" s="84" t="s">
        <v>440</v>
      </c>
      <c r="D1172" s="82" t="s">
        <v>439</v>
      </c>
      <c r="E1172" s="83">
        <v>8865</v>
      </c>
      <c r="F1172" s="83" t="s">
        <v>16</v>
      </c>
      <c r="G1172" s="83" t="s">
        <v>113</v>
      </c>
      <c r="H1172" s="83" t="s">
        <v>14</v>
      </c>
      <c r="I1172" s="83" t="s">
        <v>21</v>
      </c>
      <c r="J1172" s="83">
        <v>45</v>
      </c>
      <c r="K1172" s="84"/>
      <c r="L1172" s="83" t="s">
        <v>12</v>
      </c>
      <c r="M1172" s="83" t="s">
        <v>112</v>
      </c>
      <c r="N1172" s="85">
        <v>45995</v>
      </c>
      <c r="O1172" s="86" t="s">
        <v>10</v>
      </c>
      <c r="P1172" s="85" t="s">
        <v>20</v>
      </c>
      <c r="Q1172" s="91">
        <v>902666303</v>
      </c>
      <c r="R1172" s="87"/>
      <c r="S1172" s="75"/>
      <c r="T1172" s="29"/>
      <c r="U1172" s="29"/>
      <c r="V1172" s="29"/>
      <c r="W1172" s="29"/>
      <c r="X1172" s="29"/>
      <c r="Y1172" s="29"/>
      <c r="Z1172" s="29"/>
      <c r="AA1172" s="29"/>
      <c r="AB1172" s="29"/>
      <c r="AC1172" s="29"/>
      <c r="AD1172" s="29"/>
      <c r="AE1172" s="29"/>
      <c r="AF1172" s="29"/>
      <c r="AG1172" s="29"/>
      <c r="AH1172" s="29"/>
      <c r="AI1172" s="29"/>
      <c r="AJ1172" s="29"/>
      <c r="AK1172" s="29"/>
    </row>
    <row r="1173" spans="2:37" ht="16.2" x14ac:dyDescent="0.3">
      <c r="B1173" s="80">
        <v>1165</v>
      </c>
      <c r="C1173" s="84" t="s">
        <v>436</v>
      </c>
      <c r="D1173" s="82" t="s">
        <v>435</v>
      </c>
      <c r="E1173" s="83">
        <v>8866</v>
      </c>
      <c r="F1173" s="83" t="s">
        <v>16</v>
      </c>
      <c r="G1173" s="83" t="s">
        <v>65</v>
      </c>
      <c r="H1173" s="83" t="s">
        <v>14</v>
      </c>
      <c r="I1173" s="83" t="s">
        <v>21</v>
      </c>
      <c r="J1173" s="83">
        <v>45</v>
      </c>
      <c r="K1173" s="84"/>
      <c r="L1173" s="83" t="s">
        <v>12</v>
      </c>
      <c r="M1173" s="83" t="s">
        <v>112</v>
      </c>
      <c r="N1173" s="85">
        <v>45995</v>
      </c>
      <c r="O1173" s="86" t="s">
        <v>25</v>
      </c>
      <c r="P1173" s="85" t="s">
        <v>20</v>
      </c>
      <c r="Q1173" s="91">
        <v>902666303</v>
      </c>
      <c r="R1173" s="87"/>
      <c r="S1173" s="75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9"/>
      <c r="AD1173" s="29"/>
      <c r="AE1173" s="29"/>
      <c r="AF1173" s="29"/>
      <c r="AG1173" s="29"/>
      <c r="AH1173" s="29"/>
      <c r="AI1173" s="29"/>
      <c r="AJ1173" s="29"/>
      <c r="AK1173" s="29"/>
    </row>
    <row r="1174" spans="2:37" ht="16.2" x14ac:dyDescent="0.3">
      <c r="B1174" s="80">
        <v>1166</v>
      </c>
      <c r="C1174" s="84" t="s">
        <v>1119</v>
      </c>
      <c r="D1174" s="82" t="s">
        <v>1120</v>
      </c>
      <c r="E1174" s="83">
        <v>8867</v>
      </c>
      <c r="F1174" s="83" t="s">
        <v>16</v>
      </c>
      <c r="G1174" s="84" t="s">
        <v>273</v>
      </c>
      <c r="H1174" s="83" t="s">
        <v>14</v>
      </c>
      <c r="I1174" s="83" t="s">
        <v>21</v>
      </c>
      <c r="J1174" s="83">
        <v>45</v>
      </c>
      <c r="K1174" s="84"/>
      <c r="L1174" s="83" t="s">
        <v>26</v>
      </c>
      <c r="M1174" s="83" t="s">
        <v>112</v>
      </c>
      <c r="N1174" s="85">
        <v>45995</v>
      </c>
      <c r="O1174" s="86" t="s">
        <v>10</v>
      </c>
      <c r="P1174" s="85" t="s">
        <v>20</v>
      </c>
      <c r="Q1174" s="91">
        <v>974258617</v>
      </c>
      <c r="R1174" s="87"/>
      <c r="S1174" s="75"/>
      <c r="T1174" s="29"/>
      <c r="U1174" s="29"/>
      <c r="V1174" s="29"/>
      <c r="W1174" s="29"/>
      <c r="X1174" s="29"/>
      <c r="Y1174" s="29"/>
      <c r="Z1174" s="29"/>
      <c r="AA1174" s="29"/>
      <c r="AB1174" s="29"/>
      <c r="AC1174" s="29"/>
      <c r="AD1174" s="29"/>
      <c r="AE1174" s="29"/>
      <c r="AF1174" s="29"/>
      <c r="AG1174" s="29"/>
      <c r="AH1174" s="29"/>
      <c r="AI1174" s="29"/>
      <c r="AJ1174" s="29"/>
      <c r="AK1174" s="29"/>
    </row>
    <row r="1175" spans="2:37" ht="16.2" x14ac:dyDescent="0.3">
      <c r="B1175" s="80">
        <v>1167</v>
      </c>
      <c r="C1175" s="84" t="s">
        <v>1119</v>
      </c>
      <c r="D1175" s="82" t="s">
        <v>1120</v>
      </c>
      <c r="E1175" s="83">
        <v>8868</v>
      </c>
      <c r="F1175" s="83" t="s">
        <v>16</v>
      </c>
      <c r="G1175" s="83" t="s">
        <v>273</v>
      </c>
      <c r="H1175" s="83" t="s">
        <v>14</v>
      </c>
      <c r="I1175" s="83" t="s">
        <v>93</v>
      </c>
      <c r="J1175" s="83">
        <v>45</v>
      </c>
      <c r="K1175" s="84"/>
      <c r="L1175" s="83" t="s">
        <v>26</v>
      </c>
      <c r="M1175" s="83" t="s">
        <v>112</v>
      </c>
      <c r="N1175" s="85">
        <v>45995</v>
      </c>
      <c r="O1175" s="86" t="s">
        <v>10</v>
      </c>
      <c r="P1175" s="85" t="s">
        <v>20</v>
      </c>
      <c r="Q1175" s="91">
        <v>974258617</v>
      </c>
      <c r="R1175" s="87"/>
      <c r="S1175" s="75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  <c r="AE1175" s="29"/>
      <c r="AF1175" s="29"/>
      <c r="AG1175" s="29"/>
      <c r="AH1175" s="29"/>
      <c r="AI1175" s="29"/>
      <c r="AJ1175" s="29"/>
      <c r="AK1175" s="29"/>
    </row>
    <row r="1176" spans="2:37" ht="16.2" x14ac:dyDescent="0.3">
      <c r="B1176" s="80">
        <v>1168</v>
      </c>
      <c r="C1176" s="84" t="s">
        <v>1045</v>
      </c>
      <c r="D1176" s="82" t="s">
        <v>1046</v>
      </c>
      <c r="E1176" s="83">
        <v>8869</v>
      </c>
      <c r="F1176" s="83" t="s">
        <v>16</v>
      </c>
      <c r="G1176" s="83" t="s">
        <v>50</v>
      </c>
      <c r="H1176" s="83" t="s">
        <v>14</v>
      </c>
      <c r="I1176" s="83" t="s">
        <v>21</v>
      </c>
      <c r="J1176" s="83">
        <v>40</v>
      </c>
      <c r="K1176" s="84"/>
      <c r="L1176" s="83" t="s">
        <v>12</v>
      </c>
      <c r="M1176" s="83" t="s">
        <v>112</v>
      </c>
      <c r="N1176" s="85">
        <v>45995</v>
      </c>
      <c r="O1176" s="86" t="s">
        <v>25</v>
      </c>
      <c r="P1176" s="85" t="s">
        <v>9</v>
      </c>
      <c r="Q1176" s="91" t="s">
        <v>1047</v>
      </c>
      <c r="R1176" s="87"/>
      <c r="S1176" s="75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9"/>
      <c r="AD1176" s="29"/>
      <c r="AE1176" s="29"/>
      <c r="AF1176" s="29"/>
      <c r="AG1176" s="29"/>
      <c r="AH1176" s="29"/>
      <c r="AI1176" s="29"/>
      <c r="AJ1176" s="29"/>
      <c r="AK1176" s="29"/>
    </row>
    <row r="1177" spans="2:37" ht="16.2" x14ac:dyDescent="0.3">
      <c r="B1177" s="80">
        <v>1169</v>
      </c>
      <c r="C1177" s="84" t="s">
        <v>1048</v>
      </c>
      <c r="D1177" s="82" t="s">
        <v>1049</v>
      </c>
      <c r="E1177" s="83">
        <v>8870</v>
      </c>
      <c r="F1177" s="83" t="s">
        <v>28</v>
      </c>
      <c r="G1177" s="84" t="s">
        <v>77</v>
      </c>
      <c r="H1177" s="83" t="s">
        <v>14</v>
      </c>
      <c r="I1177" s="83" t="s">
        <v>21</v>
      </c>
      <c r="J1177" s="83">
        <v>40</v>
      </c>
      <c r="K1177" s="84"/>
      <c r="L1177" s="83" t="s">
        <v>12</v>
      </c>
      <c r="M1177" s="83" t="s">
        <v>112</v>
      </c>
      <c r="N1177" s="85">
        <v>45995</v>
      </c>
      <c r="O1177" s="86" t="s">
        <v>25</v>
      </c>
      <c r="P1177" s="85" t="s">
        <v>0</v>
      </c>
      <c r="Q1177" s="91">
        <v>998183707</v>
      </c>
      <c r="R1177" s="87"/>
      <c r="S1177" s="75"/>
      <c r="T1177" s="29"/>
      <c r="U1177" s="29"/>
      <c r="V1177" s="29"/>
      <c r="W1177" s="29"/>
      <c r="X1177" s="29"/>
      <c r="Y1177" s="29"/>
      <c r="Z1177" s="29"/>
      <c r="AA1177" s="29"/>
      <c r="AB1177" s="29"/>
      <c r="AC1177" s="29"/>
      <c r="AD1177" s="29"/>
      <c r="AE1177" s="29"/>
      <c r="AF1177" s="29"/>
      <c r="AG1177" s="29"/>
      <c r="AH1177" s="29"/>
      <c r="AI1177" s="29"/>
      <c r="AJ1177" s="29"/>
      <c r="AK1177" s="29"/>
    </row>
    <row r="1178" spans="2:37" ht="16.2" x14ac:dyDescent="0.3">
      <c r="B1178" s="80">
        <v>1170</v>
      </c>
      <c r="C1178" s="84" t="s">
        <v>1045</v>
      </c>
      <c r="D1178" s="82" t="s">
        <v>1046</v>
      </c>
      <c r="E1178" s="83">
        <v>8871</v>
      </c>
      <c r="F1178" s="83" t="s">
        <v>16</v>
      </c>
      <c r="G1178" s="83" t="s">
        <v>50</v>
      </c>
      <c r="H1178" s="83" t="s">
        <v>14</v>
      </c>
      <c r="I1178" s="83" t="s">
        <v>93</v>
      </c>
      <c r="J1178" s="83">
        <v>40</v>
      </c>
      <c r="K1178" s="84"/>
      <c r="L1178" s="83" t="s">
        <v>12</v>
      </c>
      <c r="M1178" s="83" t="s">
        <v>112</v>
      </c>
      <c r="N1178" s="85">
        <v>45995</v>
      </c>
      <c r="O1178" s="86" t="s">
        <v>25</v>
      </c>
      <c r="P1178" s="85" t="s">
        <v>9</v>
      </c>
      <c r="Q1178" s="91" t="s">
        <v>1047</v>
      </c>
      <c r="R1178" s="87"/>
      <c r="S1178" s="75"/>
      <c r="T1178" s="29"/>
      <c r="U1178" s="29"/>
      <c r="V1178" s="29"/>
      <c r="W1178" s="29"/>
      <c r="X1178" s="29"/>
      <c r="Y1178" s="29"/>
      <c r="Z1178" s="29"/>
      <c r="AA1178" s="29"/>
      <c r="AB1178" s="29"/>
      <c r="AC1178" s="29"/>
      <c r="AD1178" s="29"/>
      <c r="AE1178" s="29"/>
      <c r="AF1178" s="29"/>
      <c r="AG1178" s="29"/>
      <c r="AH1178" s="29"/>
      <c r="AI1178" s="29"/>
      <c r="AJ1178" s="29"/>
      <c r="AK1178" s="29"/>
    </row>
    <row r="1179" spans="2:37" ht="16.2" x14ac:dyDescent="0.3">
      <c r="B1179" s="80">
        <v>1171</v>
      </c>
      <c r="C1179" s="84" t="s">
        <v>1048</v>
      </c>
      <c r="D1179" s="82" t="s">
        <v>1049</v>
      </c>
      <c r="E1179" s="83">
        <v>8872</v>
      </c>
      <c r="F1179" s="83" t="s">
        <v>28</v>
      </c>
      <c r="G1179" s="83" t="s">
        <v>77</v>
      </c>
      <c r="H1179" s="83" t="s">
        <v>14</v>
      </c>
      <c r="I1179" s="83" t="s">
        <v>93</v>
      </c>
      <c r="J1179" s="83">
        <v>40</v>
      </c>
      <c r="K1179" s="84"/>
      <c r="L1179" s="83" t="s">
        <v>12</v>
      </c>
      <c r="M1179" s="83" t="s">
        <v>112</v>
      </c>
      <c r="N1179" s="85">
        <v>45995</v>
      </c>
      <c r="O1179" s="86" t="s">
        <v>25</v>
      </c>
      <c r="P1179" s="85" t="s">
        <v>0</v>
      </c>
      <c r="Q1179" s="91">
        <v>998183707</v>
      </c>
      <c r="R1179" s="87"/>
      <c r="S1179" s="75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9"/>
      <c r="AD1179" s="29"/>
      <c r="AE1179" s="29"/>
      <c r="AF1179" s="29"/>
      <c r="AG1179" s="29"/>
      <c r="AH1179" s="29"/>
      <c r="AI1179" s="29"/>
      <c r="AJ1179" s="29"/>
      <c r="AK1179" s="29"/>
    </row>
    <row r="1180" spans="2:37" ht="16.2" x14ac:dyDescent="0.3">
      <c r="B1180" s="80">
        <v>1172</v>
      </c>
      <c r="C1180" s="84" t="s">
        <v>166</v>
      </c>
      <c r="D1180" s="82" t="s">
        <v>165</v>
      </c>
      <c r="E1180" s="83">
        <v>8874</v>
      </c>
      <c r="F1180" s="83" t="s">
        <v>28</v>
      </c>
      <c r="G1180" s="83" t="s">
        <v>164</v>
      </c>
      <c r="H1180" s="83" t="s">
        <v>14</v>
      </c>
      <c r="I1180" s="83" t="s">
        <v>1059</v>
      </c>
      <c r="J1180" s="83">
        <v>30</v>
      </c>
      <c r="K1180" s="84"/>
      <c r="L1180" s="83" t="s">
        <v>12</v>
      </c>
      <c r="M1180" s="83" t="s">
        <v>112</v>
      </c>
      <c r="N1180" s="85">
        <v>45995</v>
      </c>
      <c r="O1180" s="86" t="s">
        <v>25</v>
      </c>
      <c r="P1180" s="85" t="s">
        <v>20</v>
      </c>
      <c r="Q1180" s="91">
        <v>977097926</v>
      </c>
      <c r="R1180" s="87"/>
      <c r="S1180" s="75"/>
      <c r="T1180" s="29"/>
      <c r="U1180" s="29"/>
      <c r="V1180" s="29"/>
      <c r="W1180" s="29"/>
      <c r="X1180" s="29"/>
      <c r="Y1180" s="29"/>
      <c r="Z1180" s="29"/>
      <c r="AA1180" s="29"/>
      <c r="AB1180" s="29"/>
      <c r="AC1180" s="29"/>
      <c r="AD1180" s="29"/>
      <c r="AE1180" s="29"/>
      <c r="AF1180" s="29"/>
      <c r="AG1180" s="29"/>
      <c r="AH1180" s="29"/>
      <c r="AI1180" s="29"/>
      <c r="AJ1180" s="29"/>
      <c r="AK1180" s="29"/>
    </row>
    <row r="1181" spans="2:37" ht="16.2" x14ac:dyDescent="0.3">
      <c r="B1181" s="80">
        <v>1173</v>
      </c>
      <c r="C1181" s="84" t="s">
        <v>166</v>
      </c>
      <c r="D1181" s="82" t="s">
        <v>165</v>
      </c>
      <c r="E1181" s="83">
        <v>8875</v>
      </c>
      <c r="F1181" s="83" t="s">
        <v>28</v>
      </c>
      <c r="G1181" s="83" t="s">
        <v>164</v>
      </c>
      <c r="H1181" s="83" t="s">
        <v>14</v>
      </c>
      <c r="I1181" s="83" t="s">
        <v>785</v>
      </c>
      <c r="J1181" s="83">
        <v>70</v>
      </c>
      <c r="K1181" s="84"/>
      <c r="L1181" s="83" t="s">
        <v>12</v>
      </c>
      <c r="M1181" s="83" t="s">
        <v>16</v>
      </c>
      <c r="N1181" s="85">
        <v>45995</v>
      </c>
      <c r="O1181" s="86" t="s">
        <v>25</v>
      </c>
      <c r="P1181" s="85" t="s">
        <v>20</v>
      </c>
      <c r="Q1181" s="91">
        <v>977097926</v>
      </c>
      <c r="R1181" s="87"/>
      <c r="S1181" s="75"/>
      <c r="T1181" s="29"/>
      <c r="U1181" s="29"/>
      <c r="V1181" s="29"/>
      <c r="W1181" s="29"/>
      <c r="X1181" s="29"/>
      <c r="Y1181" s="29"/>
      <c r="Z1181" s="29"/>
      <c r="AA1181" s="29"/>
      <c r="AB1181" s="29"/>
      <c r="AC1181" s="29"/>
      <c r="AD1181" s="29"/>
      <c r="AE1181" s="29"/>
      <c r="AF1181" s="29"/>
      <c r="AG1181" s="29"/>
      <c r="AH1181" s="29"/>
      <c r="AI1181" s="29"/>
      <c r="AJ1181" s="29"/>
      <c r="AK1181" s="29"/>
    </row>
    <row r="1182" spans="2:37" ht="16.2" x14ac:dyDescent="0.3">
      <c r="B1182" s="80">
        <v>1174</v>
      </c>
      <c r="C1182" s="84" t="s">
        <v>220</v>
      </c>
      <c r="D1182" s="82" t="s">
        <v>219</v>
      </c>
      <c r="E1182" s="83">
        <v>8876</v>
      </c>
      <c r="F1182" s="83" t="s">
        <v>28</v>
      </c>
      <c r="G1182" s="83" t="s">
        <v>77</v>
      </c>
      <c r="H1182" s="83" t="s">
        <v>14</v>
      </c>
      <c r="I1182" s="83" t="s">
        <v>21</v>
      </c>
      <c r="J1182" s="83">
        <v>40</v>
      </c>
      <c r="K1182" s="84"/>
      <c r="L1182" s="83" t="s">
        <v>12</v>
      </c>
      <c r="M1182" s="83" t="s">
        <v>112</v>
      </c>
      <c r="N1182" s="85">
        <v>45995</v>
      </c>
      <c r="O1182" s="86" t="s">
        <v>10</v>
      </c>
      <c r="P1182" s="85" t="s">
        <v>0</v>
      </c>
      <c r="Q1182" s="91"/>
      <c r="R1182" s="87"/>
      <c r="S1182" s="75"/>
      <c r="T1182" s="29"/>
      <c r="U1182" s="29"/>
      <c r="V1182" s="29"/>
      <c r="W1182" s="29"/>
      <c r="X1182" s="29"/>
      <c r="Y1182" s="29"/>
      <c r="Z1182" s="29"/>
      <c r="AA1182" s="29"/>
      <c r="AB1182" s="29"/>
      <c r="AC1182" s="29"/>
      <c r="AD1182" s="29"/>
      <c r="AE1182" s="29"/>
      <c r="AF1182" s="29"/>
      <c r="AG1182" s="29"/>
      <c r="AH1182" s="29"/>
      <c r="AI1182" s="29"/>
      <c r="AJ1182" s="29"/>
      <c r="AK1182" s="29"/>
    </row>
    <row r="1183" spans="2:37" ht="16.2" x14ac:dyDescent="0.3">
      <c r="B1183" s="80">
        <v>1175</v>
      </c>
      <c r="C1183" s="84" t="s">
        <v>605</v>
      </c>
      <c r="D1183" s="82" t="s">
        <v>604</v>
      </c>
      <c r="E1183" s="83">
        <v>8877</v>
      </c>
      <c r="F1183" s="83" t="s">
        <v>28</v>
      </c>
      <c r="G1183" s="83" t="s">
        <v>27</v>
      </c>
      <c r="H1183" s="83" t="s">
        <v>14</v>
      </c>
      <c r="I1183" s="83" t="s">
        <v>21</v>
      </c>
      <c r="J1183" s="83">
        <v>55</v>
      </c>
      <c r="K1183" s="84"/>
      <c r="L1183" s="83" t="s">
        <v>12</v>
      </c>
      <c r="M1183" s="83" t="s">
        <v>112</v>
      </c>
      <c r="N1183" s="85">
        <v>45995</v>
      </c>
      <c r="O1183" s="86" t="s">
        <v>10</v>
      </c>
      <c r="P1183" s="85" t="s">
        <v>20</v>
      </c>
      <c r="Q1183" s="91">
        <v>824758012</v>
      </c>
      <c r="R1183" s="87"/>
      <c r="S1183" s="75"/>
      <c r="T1183" s="29"/>
      <c r="U1183" s="29"/>
      <c r="V1183" s="29"/>
      <c r="W1183" s="29"/>
      <c r="X1183" s="29"/>
      <c r="Y1183" s="29"/>
      <c r="Z1183" s="29"/>
      <c r="AA1183" s="29"/>
      <c r="AB1183" s="29"/>
      <c r="AC1183" s="29"/>
      <c r="AD1183" s="29"/>
      <c r="AE1183" s="29"/>
      <c r="AF1183" s="29"/>
      <c r="AG1183" s="29"/>
      <c r="AH1183" s="29"/>
      <c r="AI1183" s="29"/>
      <c r="AJ1183" s="29"/>
      <c r="AK1183" s="29"/>
    </row>
    <row r="1184" spans="2:37" ht="16.2" x14ac:dyDescent="0.3">
      <c r="B1184" s="80">
        <v>1176</v>
      </c>
      <c r="C1184" s="84" t="s">
        <v>1333</v>
      </c>
      <c r="D1184" s="82" t="s">
        <v>1334</v>
      </c>
      <c r="E1184" s="83">
        <v>8878</v>
      </c>
      <c r="F1184" s="83" t="s">
        <v>16</v>
      </c>
      <c r="G1184" s="84" t="s">
        <v>50</v>
      </c>
      <c r="H1184" s="83" t="s">
        <v>14</v>
      </c>
      <c r="I1184" s="83" t="s">
        <v>21</v>
      </c>
      <c r="J1184" s="83">
        <v>20</v>
      </c>
      <c r="K1184" s="84"/>
      <c r="L1184" s="83" t="s">
        <v>26</v>
      </c>
      <c r="M1184" s="83" t="s">
        <v>112</v>
      </c>
      <c r="N1184" s="85">
        <v>45995</v>
      </c>
      <c r="O1184" s="86" t="s">
        <v>25</v>
      </c>
      <c r="P1184" s="85" t="s">
        <v>9</v>
      </c>
      <c r="Q1184" s="91">
        <v>972584124</v>
      </c>
      <c r="R1184" s="87"/>
      <c r="S1184" s="75"/>
      <c r="T1184" s="29"/>
      <c r="U1184" s="29"/>
      <c r="V1184" s="29"/>
      <c r="W1184" s="29"/>
      <c r="X1184" s="29"/>
      <c r="Y1184" s="29"/>
      <c r="Z1184" s="29"/>
      <c r="AA1184" s="29"/>
      <c r="AB1184" s="29"/>
      <c r="AC1184" s="29"/>
      <c r="AD1184" s="29"/>
      <c r="AE1184" s="29"/>
      <c r="AF1184" s="29"/>
      <c r="AG1184" s="29"/>
      <c r="AH1184" s="29"/>
      <c r="AI1184" s="29"/>
      <c r="AJ1184" s="29"/>
      <c r="AK1184" s="29"/>
    </row>
    <row r="1185" spans="2:37" ht="16.2" x14ac:dyDescent="0.3">
      <c r="B1185" s="80">
        <v>1177</v>
      </c>
      <c r="C1185" s="84" t="s">
        <v>1038</v>
      </c>
      <c r="D1185" s="82" t="s">
        <v>1039</v>
      </c>
      <c r="E1185" s="83">
        <v>8879</v>
      </c>
      <c r="F1185" s="83" t="s">
        <v>28</v>
      </c>
      <c r="G1185" s="83" t="s">
        <v>201</v>
      </c>
      <c r="H1185" s="83" t="s">
        <v>14</v>
      </c>
      <c r="I1185" s="83" t="s">
        <v>21</v>
      </c>
      <c r="J1185" s="83">
        <v>50</v>
      </c>
      <c r="K1185" s="84"/>
      <c r="L1185" s="83" t="s">
        <v>12</v>
      </c>
      <c r="M1185" s="83" t="s">
        <v>112</v>
      </c>
      <c r="N1185" s="85">
        <v>45995</v>
      </c>
      <c r="O1185" s="86" t="s">
        <v>25</v>
      </c>
      <c r="P1185" s="85" t="s">
        <v>9</v>
      </c>
      <c r="Q1185" s="91" t="s">
        <v>1040</v>
      </c>
      <c r="R1185" s="87"/>
      <c r="S1185" s="75"/>
      <c r="T1185" s="29"/>
      <c r="U1185" s="29"/>
      <c r="V1185" s="29"/>
      <c r="W1185" s="29"/>
      <c r="X1185" s="29"/>
      <c r="Y1185" s="29"/>
      <c r="Z1185" s="29"/>
      <c r="AA1185" s="29"/>
      <c r="AB1185" s="29"/>
      <c r="AC1185" s="29"/>
      <c r="AD1185" s="29"/>
      <c r="AE1185" s="29"/>
      <c r="AF1185" s="29"/>
      <c r="AG1185" s="29"/>
      <c r="AH1185" s="29"/>
      <c r="AI1185" s="29"/>
      <c r="AJ1185" s="29"/>
      <c r="AK1185" s="29"/>
    </row>
    <row r="1186" spans="2:37" ht="16.2" x14ac:dyDescent="0.3">
      <c r="B1186" s="80">
        <v>1178</v>
      </c>
      <c r="C1186" s="84" t="s">
        <v>568</v>
      </c>
      <c r="D1186" s="82" t="s">
        <v>567</v>
      </c>
      <c r="E1186" s="83">
        <v>8884</v>
      </c>
      <c r="F1186" s="83" t="s">
        <v>28</v>
      </c>
      <c r="G1186" s="83" t="s">
        <v>31</v>
      </c>
      <c r="H1186" s="83" t="s">
        <v>14</v>
      </c>
      <c r="I1186" s="83" t="s">
        <v>21</v>
      </c>
      <c r="J1186" s="83">
        <v>45</v>
      </c>
      <c r="K1186" s="84"/>
      <c r="L1186" s="83" t="s">
        <v>12</v>
      </c>
      <c r="M1186" s="83" t="s">
        <v>88</v>
      </c>
      <c r="N1186" s="85">
        <v>45996</v>
      </c>
      <c r="O1186" s="86" t="s">
        <v>25</v>
      </c>
      <c r="P1186" s="85" t="s">
        <v>20</v>
      </c>
      <c r="Q1186" s="91">
        <v>990953501</v>
      </c>
      <c r="R1186" s="87" t="s">
        <v>1335</v>
      </c>
      <c r="S1186" s="75"/>
      <c r="T1186" s="29"/>
      <c r="U1186" s="29"/>
      <c r="V1186" s="29"/>
      <c r="W1186" s="29"/>
      <c r="X1186" s="29"/>
      <c r="Y1186" s="29"/>
      <c r="Z1186" s="29"/>
      <c r="AA1186" s="29"/>
      <c r="AB1186" s="29"/>
      <c r="AC1186" s="29"/>
      <c r="AD1186" s="29"/>
      <c r="AE1186" s="29"/>
      <c r="AF1186" s="29"/>
      <c r="AG1186" s="29"/>
      <c r="AH1186" s="29"/>
      <c r="AI1186" s="29"/>
      <c r="AJ1186" s="29"/>
      <c r="AK1186" s="29"/>
    </row>
    <row r="1187" spans="2:37" ht="16.2" x14ac:dyDescent="0.3">
      <c r="B1187" s="80">
        <v>1179</v>
      </c>
      <c r="C1187" s="84" t="s">
        <v>285</v>
      </c>
      <c r="D1187" s="82" t="s">
        <v>284</v>
      </c>
      <c r="E1187" s="83">
        <v>8885</v>
      </c>
      <c r="F1187" s="83" t="s">
        <v>28</v>
      </c>
      <c r="G1187" s="83" t="s">
        <v>97</v>
      </c>
      <c r="H1187" s="83" t="s">
        <v>14</v>
      </c>
      <c r="I1187" s="83" t="s">
        <v>281</v>
      </c>
      <c r="J1187" s="83">
        <v>80</v>
      </c>
      <c r="K1187" s="84"/>
      <c r="L1187" s="83" t="s">
        <v>12</v>
      </c>
      <c r="M1187" s="83" t="s">
        <v>88</v>
      </c>
      <c r="N1187" s="85">
        <v>45996</v>
      </c>
      <c r="O1187" s="86" t="s">
        <v>25</v>
      </c>
      <c r="P1187" s="85" t="s">
        <v>20</v>
      </c>
      <c r="Q1187" s="91">
        <v>997021698</v>
      </c>
      <c r="R1187" s="87"/>
      <c r="S1187" s="75"/>
      <c r="T1187" s="29"/>
      <c r="U1187" s="29"/>
      <c r="V1187" s="29"/>
      <c r="W1187" s="29"/>
      <c r="X1187" s="29"/>
      <c r="Y1187" s="29"/>
      <c r="Z1187" s="29"/>
      <c r="AA1187" s="29"/>
      <c r="AB1187" s="29"/>
      <c r="AC1187" s="29"/>
      <c r="AD1187" s="29"/>
      <c r="AE1187" s="29"/>
      <c r="AF1187" s="29"/>
      <c r="AG1187" s="29"/>
      <c r="AH1187" s="29"/>
      <c r="AI1187" s="29"/>
      <c r="AJ1187" s="29"/>
      <c r="AK1187" s="29"/>
    </row>
    <row r="1188" spans="2:37" ht="16.2" x14ac:dyDescent="0.3">
      <c r="B1188" s="80">
        <v>1180</v>
      </c>
      <c r="C1188" s="84" t="s">
        <v>995</v>
      </c>
      <c r="D1188" s="82" t="s">
        <v>1336</v>
      </c>
      <c r="E1188" s="83">
        <v>8886</v>
      </c>
      <c r="F1188" s="83" t="s">
        <v>28</v>
      </c>
      <c r="G1188" s="84" t="s">
        <v>40</v>
      </c>
      <c r="H1188" s="83" t="s">
        <v>14</v>
      </c>
      <c r="I1188" s="83" t="s">
        <v>21</v>
      </c>
      <c r="J1188" s="83">
        <v>40</v>
      </c>
      <c r="K1188" s="84"/>
      <c r="L1188" s="83" t="s">
        <v>26</v>
      </c>
      <c r="M1188" s="83" t="s">
        <v>88</v>
      </c>
      <c r="N1188" s="85">
        <v>45996</v>
      </c>
      <c r="O1188" s="86" t="s">
        <v>10</v>
      </c>
      <c r="P1188" s="85" t="s">
        <v>0</v>
      </c>
      <c r="Q1188" s="91"/>
      <c r="R1188" s="87"/>
      <c r="S1188" s="75"/>
      <c r="T1188" s="29"/>
      <c r="U1188" s="29"/>
      <c r="V1188" s="29"/>
      <c r="W1188" s="29"/>
      <c r="X1188" s="29"/>
      <c r="Y1188" s="29"/>
      <c r="Z1188" s="29"/>
      <c r="AA1188" s="29"/>
      <c r="AB1188" s="29"/>
      <c r="AC1188" s="29"/>
      <c r="AD1188" s="29"/>
      <c r="AE1188" s="29"/>
      <c r="AF1188" s="29"/>
      <c r="AG1188" s="29"/>
      <c r="AH1188" s="29"/>
      <c r="AI1188" s="29"/>
      <c r="AJ1188" s="29"/>
      <c r="AK1188" s="29"/>
    </row>
    <row r="1189" spans="2:37" ht="16.2" x14ac:dyDescent="0.3">
      <c r="B1189" s="80">
        <v>1181</v>
      </c>
      <c r="C1189" s="84" t="s">
        <v>1099</v>
      </c>
      <c r="D1189" s="82" t="s">
        <v>1100</v>
      </c>
      <c r="E1189" s="83">
        <v>8887</v>
      </c>
      <c r="F1189" s="83" t="s">
        <v>16</v>
      </c>
      <c r="G1189" s="83" t="s">
        <v>50</v>
      </c>
      <c r="H1189" s="83" t="s">
        <v>14</v>
      </c>
      <c r="I1189" s="83" t="s">
        <v>21</v>
      </c>
      <c r="J1189" s="83">
        <v>40</v>
      </c>
      <c r="K1189" s="84"/>
      <c r="L1189" s="83" t="s">
        <v>12</v>
      </c>
      <c r="M1189" s="83" t="s">
        <v>88</v>
      </c>
      <c r="N1189" s="85">
        <v>45996</v>
      </c>
      <c r="O1189" s="86" t="s">
        <v>10</v>
      </c>
      <c r="P1189" s="85" t="s">
        <v>9</v>
      </c>
      <c r="Q1189" s="91" t="s">
        <v>1101</v>
      </c>
      <c r="R1189" s="87"/>
      <c r="S1189" s="75"/>
      <c r="T1189" s="29"/>
      <c r="U1189" s="29"/>
      <c r="V1189" s="29"/>
      <c r="W1189" s="29"/>
      <c r="X1189" s="29"/>
      <c r="Y1189" s="29"/>
      <c r="Z1189" s="29"/>
      <c r="AA1189" s="29"/>
      <c r="AB1189" s="29"/>
      <c r="AC1189" s="29"/>
      <c r="AD1189" s="29"/>
      <c r="AE1189" s="29"/>
      <c r="AF1189" s="29"/>
      <c r="AG1189" s="29"/>
      <c r="AH1189" s="29"/>
      <c r="AI1189" s="29"/>
      <c r="AJ1189" s="29"/>
      <c r="AK1189" s="29"/>
    </row>
    <row r="1190" spans="2:37" ht="16.2" x14ac:dyDescent="0.3">
      <c r="B1190" s="80">
        <v>1182</v>
      </c>
      <c r="C1190" s="84" t="s">
        <v>1097</v>
      </c>
      <c r="D1190" s="82" t="s">
        <v>1098</v>
      </c>
      <c r="E1190" s="83">
        <v>8888</v>
      </c>
      <c r="F1190" s="83" t="s">
        <v>28</v>
      </c>
      <c r="G1190" s="83" t="s">
        <v>15</v>
      </c>
      <c r="H1190" s="83" t="s">
        <v>14</v>
      </c>
      <c r="I1190" s="83" t="s">
        <v>21</v>
      </c>
      <c r="J1190" s="83">
        <v>40</v>
      </c>
      <c r="K1190" s="84"/>
      <c r="L1190" s="83" t="s">
        <v>12</v>
      </c>
      <c r="M1190" s="83" t="s">
        <v>88</v>
      </c>
      <c r="N1190" s="85">
        <v>45996</v>
      </c>
      <c r="O1190" s="86" t="s">
        <v>10</v>
      </c>
      <c r="P1190" s="85" t="s">
        <v>9</v>
      </c>
      <c r="Q1190" s="91"/>
      <c r="R1190" s="87"/>
      <c r="S1190" s="75"/>
      <c r="T1190" s="29"/>
      <c r="U1190" s="29"/>
      <c r="V1190" s="29"/>
      <c r="W1190" s="29"/>
      <c r="X1190" s="29"/>
      <c r="Y1190" s="29"/>
      <c r="Z1190" s="29"/>
      <c r="AA1190" s="29"/>
      <c r="AB1190" s="29"/>
      <c r="AC1190" s="29"/>
      <c r="AD1190" s="29"/>
      <c r="AE1190" s="29"/>
      <c r="AF1190" s="29"/>
      <c r="AG1190" s="29"/>
      <c r="AH1190" s="29"/>
      <c r="AI1190" s="29"/>
      <c r="AJ1190" s="29"/>
      <c r="AK1190" s="29"/>
    </row>
    <row r="1191" spans="2:37" ht="16.2" x14ac:dyDescent="0.3">
      <c r="B1191" s="80">
        <v>1183</v>
      </c>
      <c r="C1191" s="84" t="s">
        <v>1095</v>
      </c>
      <c r="D1191" s="82" t="s">
        <v>1096</v>
      </c>
      <c r="E1191" s="83">
        <v>8890</v>
      </c>
      <c r="F1191" s="83" t="s">
        <v>16</v>
      </c>
      <c r="G1191" s="83" t="s">
        <v>83</v>
      </c>
      <c r="H1191" s="83" t="s">
        <v>14</v>
      </c>
      <c r="I1191" s="83" t="s">
        <v>21</v>
      </c>
      <c r="J1191" s="83">
        <v>40</v>
      </c>
      <c r="K1191" s="84"/>
      <c r="L1191" s="83" t="s">
        <v>12</v>
      </c>
      <c r="M1191" s="83" t="s">
        <v>88</v>
      </c>
      <c r="N1191" s="85">
        <v>45996</v>
      </c>
      <c r="O1191" s="86" t="s">
        <v>10</v>
      </c>
      <c r="P1191" s="85" t="s">
        <v>9</v>
      </c>
      <c r="Q1191" s="91"/>
      <c r="R1191" s="87"/>
      <c r="S1191" s="75"/>
      <c r="T1191" s="29"/>
      <c r="U1191" s="29"/>
      <c r="V1191" s="29"/>
      <c r="W1191" s="29"/>
      <c r="X1191" s="29"/>
      <c r="Y1191" s="29"/>
      <c r="Z1191" s="29"/>
      <c r="AA1191" s="29"/>
      <c r="AB1191" s="29"/>
      <c r="AC1191" s="29"/>
      <c r="AD1191" s="29"/>
      <c r="AE1191" s="29"/>
      <c r="AF1191" s="29"/>
      <c r="AG1191" s="29"/>
      <c r="AH1191" s="29"/>
      <c r="AI1191" s="29"/>
      <c r="AJ1191" s="29"/>
      <c r="AK1191" s="29"/>
    </row>
    <row r="1192" spans="2:37" ht="16.2" x14ac:dyDescent="0.3">
      <c r="B1192" s="80">
        <v>1184</v>
      </c>
      <c r="C1192" s="84" t="s">
        <v>896</v>
      </c>
      <c r="D1192" s="82" t="s">
        <v>897</v>
      </c>
      <c r="E1192" s="83">
        <v>8891</v>
      </c>
      <c r="F1192" s="83" t="s">
        <v>16</v>
      </c>
      <c r="G1192" s="83" t="s">
        <v>22</v>
      </c>
      <c r="H1192" s="83" t="s">
        <v>14</v>
      </c>
      <c r="I1192" s="83" t="s">
        <v>13</v>
      </c>
      <c r="J1192" s="83">
        <v>40</v>
      </c>
      <c r="K1192" s="84"/>
      <c r="L1192" s="83" t="s">
        <v>12</v>
      </c>
      <c r="M1192" s="83" t="s">
        <v>88</v>
      </c>
      <c r="N1192" s="85">
        <v>45996</v>
      </c>
      <c r="O1192" s="86" t="s">
        <v>10</v>
      </c>
      <c r="P1192" s="85" t="s">
        <v>20</v>
      </c>
      <c r="Q1192" s="91">
        <v>808677280</v>
      </c>
      <c r="R1192" s="87"/>
      <c r="S1192" s="75"/>
      <c r="T1192" s="29"/>
      <c r="U1192" s="29"/>
      <c r="V1192" s="29"/>
      <c r="W1192" s="29"/>
      <c r="X1192" s="29"/>
      <c r="Y1192" s="29"/>
      <c r="Z1192" s="29"/>
      <c r="AA1192" s="29"/>
      <c r="AB1192" s="29"/>
      <c r="AC1192" s="29"/>
      <c r="AD1192" s="29"/>
      <c r="AE1192" s="29"/>
      <c r="AF1192" s="29"/>
      <c r="AG1192" s="29"/>
      <c r="AH1192" s="29"/>
      <c r="AI1192" s="29"/>
      <c r="AJ1192" s="29"/>
      <c r="AK1192" s="29"/>
    </row>
    <row r="1193" spans="2:37" ht="16.2" x14ac:dyDescent="0.3">
      <c r="B1193" s="80">
        <v>1185</v>
      </c>
      <c r="C1193" s="84" t="s">
        <v>898</v>
      </c>
      <c r="D1193" s="82" t="s">
        <v>899</v>
      </c>
      <c r="E1193" s="83">
        <v>8892</v>
      </c>
      <c r="F1193" s="83" t="s">
        <v>28</v>
      </c>
      <c r="G1193" s="83" t="s">
        <v>15</v>
      </c>
      <c r="H1193" s="83" t="s">
        <v>14</v>
      </c>
      <c r="I1193" s="83" t="s">
        <v>13</v>
      </c>
      <c r="J1193" s="83">
        <v>35</v>
      </c>
      <c r="K1193" s="84"/>
      <c r="L1193" s="83" t="s">
        <v>12</v>
      </c>
      <c r="M1193" s="83" t="s">
        <v>88</v>
      </c>
      <c r="N1193" s="85">
        <v>45996</v>
      </c>
      <c r="O1193" s="86" t="s">
        <v>10</v>
      </c>
      <c r="P1193" s="85" t="s">
        <v>9</v>
      </c>
      <c r="Q1193" s="91" t="s">
        <v>900</v>
      </c>
      <c r="R1193" s="87"/>
      <c r="S1193" s="75"/>
      <c r="T1193" s="29"/>
      <c r="U1193" s="29"/>
      <c r="V1193" s="29"/>
      <c r="W1193" s="29"/>
      <c r="X1193" s="29"/>
      <c r="Y1193" s="29"/>
      <c r="Z1193" s="29"/>
      <c r="AA1193" s="29"/>
      <c r="AB1193" s="29"/>
      <c r="AC1193" s="29"/>
      <c r="AD1193" s="29"/>
      <c r="AE1193" s="29"/>
      <c r="AF1193" s="29"/>
      <c r="AG1193" s="29"/>
      <c r="AH1193" s="29"/>
      <c r="AI1193" s="29"/>
      <c r="AJ1193" s="29"/>
      <c r="AK1193" s="29"/>
    </row>
    <row r="1194" spans="2:37" ht="16.2" x14ac:dyDescent="0.3">
      <c r="B1194" s="80">
        <v>1186</v>
      </c>
      <c r="C1194" s="84" t="s">
        <v>901</v>
      </c>
      <c r="D1194" s="82" t="s">
        <v>902</v>
      </c>
      <c r="E1194" s="83">
        <v>8893</v>
      </c>
      <c r="F1194" s="83" t="s">
        <v>16</v>
      </c>
      <c r="G1194" s="83" t="s">
        <v>133</v>
      </c>
      <c r="H1194" s="83" t="s">
        <v>14</v>
      </c>
      <c r="I1194" s="83" t="s">
        <v>13</v>
      </c>
      <c r="J1194" s="83">
        <v>35</v>
      </c>
      <c r="K1194" s="84"/>
      <c r="L1194" s="83" t="s">
        <v>26</v>
      </c>
      <c r="M1194" s="83" t="s">
        <v>88</v>
      </c>
      <c r="N1194" s="85">
        <v>45996</v>
      </c>
      <c r="O1194" s="86" t="s">
        <v>25</v>
      </c>
      <c r="P1194" s="85" t="s">
        <v>9</v>
      </c>
      <c r="Q1194" s="91">
        <v>895618289</v>
      </c>
      <c r="R1194" s="87"/>
      <c r="S1194" s="75"/>
      <c r="T1194" s="29"/>
      <c r="U1194" s="29"/>
      <c r="V1194" s="29"/>
      <c r="W1194" s="29"/>
      <c r="X1194" s="29"/>
      <c r="Y1194" s="29"/>
      <c r="Z1194" s="29"/>
      <c r="AA1194" s="29"/>
      <c r="AB1194" s="29"/>
      <c r="AC1194" s="29"/>
      <c r="AD1194" s="29"/>
      <c r="AE1194" s="29"/>
      <c r="AF1194" s="29"/>
      <c r="AG1194" s="29"/>
      <c r="AH1194" s="29"/>
      <c r="AI1194" s="29"/>
      <c r="AJ1194" s="29"/>
      <c r="AK1194" s="29"/>
    </row>
    <row r="1195" spans="2:37" ht="16.2" x14ac:dyDescent="0.3">
      <c r="B1195" s="80">
        <v>1187</v>
      </c>
      <c r="C1195" s="84" t="s">
        <v>903</v>
      </c>
      <c r="D1195" s="82" t="s">
        <v>904</v>
      </c>
      <c r="E1195" s="83">
        <v>8894</v>
      </c>
      <c r="F1195" s="83" t="s">
        <v>16</v>
      </c>
      <c r="G1195" s="84" t="s">
        <v>80</v>
      </c>
      <c r="H1195" s="83" t="s">
        <v>14</v>
      </c>
      <c r="I1195" s="83" t="s">
        <v>13</v>
      </c>
      <c r="J1195" s="83">
        <v>35</v>
      </c>
      <c r="K1195" s="84"/>
      <c r="L1195" s="83" t="s">
        <v>12</v>
      </c>
      <c r="M1195" s="83" t="s">
        <v>88</v>
      </c>
      <c r="N1195" s="85">
        <v>45996</v>
      </c>
      <c r="O1195" s="86" t="s">
        <v>10</v>
      </c>
      <c r="P1195" s="85" t="s">
        <v>9</v>
      </c>
      <c r="Q1195" s="91" t="s">
        <v>905</v>
      </c>
      <c r="R1195" s="87"/>
      <c r="S1195" s="75"/>
      <c r="T1195" s="29"/>
      <c r="U1195" s="29"/>
      <c r="V1195" s="29"/>
      <c r="W1195" s="29"/>
      <c r="X1195" s="29"/>
      <c r="Y1195" s="29"/>
      <c r="Z1195" s="29"/>
      <c r="AA1195" s="29"/>
      <c r="AB1195" s="29"/>
      <c r="AC1195" s="29"/>
      <c r="AD1195" s="29"/>
      <c r="AE1195" s="29"/>
      <c r="AF1195" s="29"/>
      <c r="AG1195" s="29"/>
      <c r="AH1195" s="29"/>
      <c r="AI1195" s="29"/>
      <c r="AJ1195" s="29"/>
      <c r="AK1195" s="29"/>
    </row>
    <row r="1196" spans="2:37" ht="16.2" x14ac:dyDescent="0.3">
      <c r="B1196" s="80">
        <v>1188</v>
      </c>
      <c r="C1196" s="84" t="s">
        <v>1337</v>
      </c>
      <c r="D1196" s="82" t="s">
        <v>1338</v>
      </c>
      <c r="E1196" s="83">
        <v>8895</v>
      </c>
      <c r="F1196" s="83" t="s">
        <v>16</v>
      </c>
      <c r="G1196" s="83" t="s">
        <v>77</v>
      </c>
      <c r="H1196" s="83" t="s">
        <v>14</v>
      </c>
      <c r="I1196" s="83" t="s">
        <v>21</v>
      </c>
      <c r="J1196" s="83">
        <v>40</v>
      </c>
      <c r="K1196" s="84"/>
      <c r="L1196" s="83" t="s">
        <v>26</v>
      </c>
      <c r="M1196" s="83" t="s">
        <v>88</v>
      </c>
      <c r="N1196" s="85">
        <v>45996</v>
      </c>
      <c r="O1196" s="86" t="s">
        <v>25</v>
      </c>
      <c r="P1196" s="85" t="s">
        <v>0</v>
      </c>
      <c r="Q1196" s="91"/>
      <c r="R1196" s="87"/>
      <c r="S1196" s="75"/>
      <c r="T1196" s="29"/>
      <c r="U1196" s="29"/>
      <c r="V1196" s="29"/>
      <c r="W1196" s="29"/>
      <c r="X1196" s="29"/>
      <c r="Y1196" s="29"/>
      <c r="Z1196" s="29"/>
      <c r="AA1196" s="29"/>
      <c r="AB1196" s="29"/>
      <c r="AC1196" s="29"/>
      <c r="AD1196" s="29"/>
      <c r="AE1196" s="29"/>
      <c r="AF1196" s="29"/>
      <c r="AG1196" s="29"/>
      <c r="AH1196" s="29"/>
      <c r="AI1196" s="29"/>
      <c r="AJ1196" s="29"/>
      <c r="AK1196" s="29"/>
    </row>
    <row r="1197" spans="2:37" ht="16.2" x14ac:dyDescent="0.3">
      <c r="B1197" s="80">
        <v>1189</v>
      </c>
      <c r="C1197" s="84" t="s">
        <v>1339</v>
      </c>
      <c r="D1197" s="82" t="s">
        <v>1340</v>
      </c>
      <c r="E1197" s="83">
        <v>8896</v>
      </c>
      <c r="F1197" s="83" t="s">
        <v>28</v>
      </c>
      <c r="G1197" s="83" t="s">
        <v>46</v>
      </c>
      <c r="H1197" s="83" t="s">
        <v>14</v>
      </c>
      <c r="I1197" s="83" t="s">
        <v>21</v>
      </c>
      <c r="J1197" s="83">
        <v>40</v>
      </c>
      <c r="K1197" s="84"/>
      <c r="L1197" s="83" t="s">
        <v>26</v>
      </c>
      <c r="M1197" s="83" t="s">
        <v>88</v>
      </c>
      <c r="N1197" s="85">
        <v>45996</v>
      </c>
      <c r="O1197" s="86" t="s">
        <v>25</v>
      </c>
      <c r="P1197" s="85" t="s">
        <v>0</v>
      </c>
      <c r="Q1197" s="91"/>
      <c r="R1197" s="87"/>
      <c r="S1197" s="75"/>
      <c r="T1197" s="29"/>
      <c r="U1197" s="29"/>
      <c r="V1197" s="29"/>
      <c r="W1197" s="29"/>
      <c r="X1197" s="29"/>
      <c r="Y1197" s="29"/>
      <c r="Z1197" s="29"/>
      <c r="AA1197" s="29"/>
      <c r="AB1197" s="29"/>
      <c r="AC1197" s="29"/>
      <c r="AD1197" s="29"/>
      <c r="AE1197" s="29"/>
      <c r="AF1197" s="29"/>
      <c r="AG1197" s="29"/>
      <c r="AH1197" s="29"/>
      <c r="AI1197" s="29"/>
      <c r="AJ1197" s="29"/>
      <c r="AK1197" s="29"/>
    </row>
    <row r="1198" spans="2:37" ht="16.2" x14ac:dyDescent="0.3">
      <c r="B1198" s="80">
        <v>1190</v>
      </c>
      <c r="C1198" s="84" t="s">
        <v>481</v>
      </c>
      <c r="D1198" s="82" t="s">
        <v>480</v>
      </c>
      <c r="E1198" s="83">
        <v>8897</v>
      </c>
      <c r="F1198" s="83" t="s">
        <v>28</v>
      </c>
      <c r="G1198" s="83" t="s">
        <v>106</v>
      </c>
      <c r="H1198" s="83" t="s">
        <v>14</v>
      </c>
      <c r="I1198" s="83" t="s">
        <v>21</v>
      </c>
      <c r="J1198" s="83">
        <v>100</v>
      </c>
      <c r="K1198" s="84"/>
      <c r="L1198" s="83" t="s">
        <v>26</v>
      </c>
      <c r="M1198" s="83" t="s">
        <v>88</v>
      </c>
      <c r="N1198" s="85">
        <v>45996</v>
      </c>
      <c r="O1198" s="86" t="s">
        <v>25</v>
      </c>
      <c r="P1198" s="85" t="s">
        <v>20</v>
      </c>
      <c r="Q1198" s="91">
        <v>243995030005</v>
      </c>
      <c r="R1198" s="87"/>
      <c r="S1198" s="75"/>
      <c r="T1198" s="29"/>
      <c r="U1198" s="29"/>
      <c r="V1198" s="29"/>
      <c r="W1198" s="29"/>
      <c r="X1198" s="29"/>
      <c r="Y1198" s="29"/>
      <c r="Z1198" s="29"/>
      <c r="AA1198" s="29"/>
      <c r="AB1198" s="29"/>
      <c r="AC1198" s="29"/>
      <c r="AD1198" s="29"/>
      <c r="AE1198" s="29"/>
      <c r="AF1198" s="29"/>
      <c r="AG1198" s="29"/>
      <c r="AH1198" s="29"/>
      <c r="AI1198" s="29"/>
      <c r="AJ1198" s="29"/>
      <c r="AK1198" s="29"/>
    </row>
    <row r="1199" spans="2:37" ht="16.2" x14ac:dyDescent="0.3">
      <c r="B1199" s="80">
        <v>1191</v>
      </c>
      <c r="C1199" s="84" t="s">
        <v>564</v>
      </c>
      <c r="D1199" s="82" t="s">
        <v>563</v>
      </c>
      <c r="E1199" s="83">
        <v>8898</v>
      </c>
      <c r="F1199" s="83" t="s">
        <v>28</v>
      </c>
      <c r="G1199" s="83" t="s">
        <v>65</v>
      </c>
      <c r="H1199" s="83" t="s">
        <v>14</v>
      </c>
      <c r="I1199" s="83" t="s">
        <v>21</v>
      </c>
      <c r="J1199" s="83">
        <v>45</v>
      </c>
      <c r="K1199" s="84"/>
      <c r="L1199" s="83" t="s">
        <v>12</v>
      </c>
      <c r="M1199" s="83" t="s">
        <v>88</v>
      </c>
      <c r="N1199" s="85">
        <v>45996</v>
      </c>
      <c r="O1199" s="86" t="s">
        <v>25</v>
      </c>
      <c r="P1199" s="85" t="s">
        <v>20</v>
      </c>
      <c r="Q1199" s="91" t="s">
        <v>562</v>
      </c>
      <c r="R1199" s="87"/>
      <c r="S1199" s="75"/>
      <c r="T1199" s="29"/>
      <c r="U1199" s="29"/>
      <c r="V1199" s="29"/>
      <c r="W1199" s="29"/>
      <c r="X1199" s="29"/>
      <c r="Y1199" s="29"/>
      <c r="Z1199" s="29"/>
      <c r="AA1199" s="29"/>
      <c r="AB1199" s="29"/>
      <c r="AC1199" s="29"/>
      <c r="AD1199" s="29"/>
      <c r="AE1199" s="29"/>
      <c r="AF1199" s="29"/>
      <c r="AG1199" s="29"/>
      <c r="AH1199" s="29"/>
      <c r="AI1199" s="29"/>
      <c r="AJ1199" s="29"/>
      <c r="AK1199" s="29"/>
    </row>
    <row r="1200" spans="2:37" ht="16.2" x14ac:dyDescent="0.3">
      <c r="B1200" s="80">
        <v>1192</v>
      </c>
      <c r="C1200" s="84" t="s">
        <v>62</v>
      </c>
      <c r="D1200" s="82" t="s">
        <v>61</v>
      </c>
      <c r="E1200" s="83">
        <v>8899</v>
      </c>
      <c r="F1200" s="83" t="s">
        <v>28</v>
      </c>
      <c r="G1200" s="83" t="s">
        <v>27</v>
      </c>
      <c r="H1200" s="83" t="s">
        <v>14</v>
      </c>
      <c r="I1200" s="83" t="s">
        <v>21</v>
      </c>
      <c r="J1200" s="83">
        <v>55</v>
      </c>
      <c r="K1200" s="84"/>
      <c r="L1200" s="83" t="s">
        <v>26</v>
      </c>
      <c r="M1200" s="83" t="s">
        <v>88</v>
      </c>
      <c r="N1200" s="85">
        <v>45996</v>
      </c>
      <c r="O1200" s="86" t="s">
        <v>25</v>
      </c>
      <c r="P1200" s="85" t="s">
        <v>20</v>
      </c>
      <c r="Q1200" s="91">
        <v>990134571</v>
      </c>
      <c r="R1200" s="87"/>
      <c r="S1200" s="75"/>
      <c r="T1200" s="29"/>
      <c r="U1200" s="29"/>
      <c r="V1200" s="29"/>
      <c r="W1200" s="29"/>
      <c r="X1200" s="29"/>
      <c r="Y1200" s="29"/>
      <c r="Z1200" s="29"/>
      <c r="AA1200" s="29"/>
      <c r="AB1200" s="29"/>
      <c r="AC1200" s="29"/>
      <c r="AD1200" s="29"/>
      <c r="AE1200" s="29"/>
      <c r="AF1200" s="29"/>
      <c r="AG1200" s="29"/>
      <c r="AH1200" s="29"/>
      <c r="AI1200" s="29"/>
      <c r="AJ1200" s="29"/>
      <c r="AK1200" s="29"/>
    </row>
    <row r="1201" spans="2:37" ht="16.2" x14ac:dyDescent="0.3">
      <c r="B1201" s="80">
        <v>1193</v>
      </c>
      <c r="C1201" s="84" t="s">
        <v>509</v>
      </c>
      <c r="D1201" s="82" t="s">
        <v>508</v>
      </c>
      <c r="E1201" s="83">
        <v>8900</v>
      </c>
      <c r="F1201" s="83" t="s">
        <v>16</v>
      </c>
      <c r="G1201" s="83" t="s">
        <v>37</v>
      </c>
      <c r="H1201" s="83" t="s">
        <v>14</v>
      </c>
      <c r="I1201" s="83" t="s">
        <v>21</v>
      </c>
      <c r="J1201" s="83">
        <v>45</v>
      </c>
      <c r="K1201" s="84"/>
      <c r="L1201" s="83" t="s">
        <v>26</v>
      </c>
      <c r="M1201" s="83" t="s">
        <v>88</v>
      </c>
      <c r="N1201" s="85">
        <v>45996</v>
      </c>
      <c r="O1201" s="86" t="s">
        <v>10</v>
      </c>
      <c r="P1201" s="85" t="s">
        <v>20</v>
      </c>
      <c r="Q1201" s="91">
        <v>990134571</v>
      </c>
      <c r="R1201" s="87"/>
      <c r="S1201" s="75"/>
      <c r="T1201" s="29"/>
      <c r="U1201" s="29"/>
      <c r="V1201" s="29"/>
      <c r="W1201" s="29"/>
      <c r="X1201" s="29"/>
      <c r="Y1201" s="29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</row>
    <row r="1202" spans="2:37" ht="16.2" x14ac:dyDescent="0.3">
      <c r="B1202" s="80">
        <v>1194</v>
      </c>
      <c r="C1202" s="84" t="s">
        <v>1178</v>
      </c>
      <c r="D1202" s="82" t="s">
        <v>1179</v>
      </c>
      <c r="E1202" s="83">
        <v>8901</v>
      </c>
      <c r="F1202" s="83" t="s">
        <v>16</v>
      </c>
      <c r="G1202" s="84" t="s">
        <v>140</v>
      </c>
      <c r="H1202" s="83" t="s">
        <v>14</v>
      </c>
      <c r="I1202" s="83" t="s">
        <v>21</v>
      </c>
      <c r="J1202" s="83">
        <v>55</v>
      </c>
      <c r="K1202" s="83"/>
      <c r="L1202" s="83" t="s">
        <v>26</v>
      </c>
      <c r="M1202" s="83" t="s">
        <v>88</v>
      </c>
      <c r="N1202" s="85">
        <v>45996</v>
      </c>
      <c r="O1202" s="86" t="s">
        <v>25</v>
      </c>
      <c r="P1202" s="85" t="s">
        <v>20</v>
      </c>
      <c r="Q1202" s="91">
        <v>974113400</v>
      </c>
      <c r="R1202" s="87"/>
      <c r="S1202" s="75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9"/>
      <c r="AD1202" s="29"/>
      <c r="AE1202" s="29"/>
      <c r="AF1202" s="29"/>
      <c r="AG1202" s="29"/>
      <c r="AH1202" s="29"/>
      <c r="AI1202" s="29"/>
      <c r="AJ1202" s="29"/>
      <c r="AK1202" s="29"/>
    </row>
    <row r="1203" spans="2:37" ht="16.2" x14ac:dyDescent="0.3">
      <c r="B1203" s="80">
        <v>1195</v>
      </c>
      <c r="C1203" s="84" t="s">
        <v>699</v>
      </c>
      <c r="D1203" s="82" t="s">
        <v>698</v>
      </c>
      <c r="E1203" s="83">
        <v>8902</v>
      </c>
      <c r="F1203" s="83" t="s">
        <v>16</v>
      </c>
      <c r="G1203" s="83" t="s">
        <v>97</v>
      </c>
      <c r="H1203" s="83" t="s">
        <v>14</v>
      </c>
      <c r="I1203" s="83" t="s">
        <v>785</v>
      </c>
      <c r="J1203" s="83">
        <v>80</v>
      </c>
      <c r="K1203" s="83"/>
      <c r="L1203" s="83" t="s">
        <v>12</v>
      </c>
      <c r="M1203" s="83" t="s">
        <v>88</v>
      </c>
      <c r="N1203" s="85">
        <v>45996</v>
      </c>
      <c r="O1203" s="86" t="s">
        <v>25</v>
      </c>
      <c r="P1203" s="85" t="s">
        <v>20</v>
      </c>
      <c r="Q1203" s="91">
        <v>971790071</v>
      </c>
      <c r="R1203" s="87"/>
      <c r="S1203" s="75"/>
      <c r="T1203" s="29"/>
      <c r="U1203" s="29"/>
      <c r="V1203" s="29"/>
      <c r="W1203" s="29"/>
      <c r="X1203" s="29"/>
      <c r="Y1203" s="29"/>
      <c r="Z1203" s="29"/>
      <c r="AA1203" s="29"/>
      <c r="AB1203" s="29"/>
      <c r="AC1203" s="29"/>
      <c r="AD1203" s="29"/>
      <c r="AE1203" s="29"/>
      <c r="AF1203" s="29"/>
      <c r="AG1203" s="29"/>
      <c r="AH1203" s="29"/>
      <c r="AI1203" s="29"/>
      <c r="AJ1203" s="29"/>
      <c r="AK1203" s="29"/>
    </row>
    <row r="1204" spans="2:37" ht="16.2" x14ac:dyDescent="0.3">
      <c r="B1204" s="80">
        <v>1196</v>
      </c>
      <c r="C1204" s="84" t="s">
        <v>491</v>
      </c>
      <c r="D1204" s="82" t="s">
        <v>490</v>
      </c>
      <c r="E1204" s="83">
        <v>8903</v>
      </c>
      <c r="F1204" s="83" t="s">
        <v>28</v>
      </c>
      <c r="G1204" s="83" t="s">
        <v>106</v>
      </c>
      <c r="H1204" s="83" t="s">
        <v>14</v>
      </c>
      <c r="I1204" s="83" t="s">
        <v>21</v>
      </c>
      <c r="J1204" s="83">
        <v>100</v>
      </c>
      <c r="K1204" s="83"/>
      <c r="L1204" s="83" t="s">
        <v>26</v>
      </c>
      <c r="M1204" s="83" t="s">
        <v>88</v>
      </c>
      <c r="N1204" s="85">
        <v>45996</v>
      </c>
      <c r="O1204" s="86" t="s">
        <v>25</v>
      </c>
      <c r="P1204" s="85" t="s">
        <v>20</v>
      </c>
      <c r="Q1204" s="91">
        <v>995373173</v>
      </c>
      <c r="R1204" s="87"/>
      <c r="S1204" s="75"/>
      <c r="T1204" s="29"/>
      <c r="U1204" s="29"/>
      <c r="V1204" s="29"/>
      <c r="W1204" s="29"/>
      <c r="X1204" s="29"/>
      <c r="Y1204" s="29"/>
      <c r="Z1204" s="29"/>
      <c r="AA1204" s="29"/>
      <c r="AB1204" s="29"/>
      <c r="AC1204" s="29"/>
      <c r="AD1204" s="29"/>
      <c r="AE1204" s="29"/>
      <c r="AF1204" s="29"/>
      <c r="AG1204" s="29"/>
      <c r="AH1204" s="29"/>
      <c r="AI1204" s="29"/>
      <c r="AJ1204" s="29"/>
      <c r="AK1204" s="29"/>
    </row>
    <row r="1205" spans="2:37" ht="16.2" x14ac:dyDescent="0.3">
      <c r="B1205" s="80">
        <v>1197</v>
      </c>
      <c r="C1205" s="84" t="s">
        <v>1219</v>
      </c>
      <c r="D1205" s="82" t="s">
        <v>1220</v>
      </c>
      <c r="E1205" s="83">
        <v>8905</v>
      </c>
      <c r="F1205" s="83" t="s">
        <v>16</v>
      </c>
      <c r="G1205" s="83" t="s">
        <v>375</v>
      </c>
      <c r="H1205" s="83" t="s">
        <v>14</v>
      </c>
      <c r="I1205" s="83" t="s">
        <v>21</v>
      </c>
      <c r="J1205" s="83">
        <v>35</v>
      </c>
      <c r="K1205" s="83"/>
      <c r="L1205" s="83" t="s">
        <v>12</v>
      </c>
      <c r="M1205" s="83" t="s">
        <v>88</v>
      </c>
      <c r="N1205" s="85">
        <v>45996</v>
      </c>
      <c r="O1205" s="86" t="s">
        <v>10</v>
      </c>
      <c r="P1205" s="85" t="s">
        <v>20</v>
      </c>
      <c r="Q1205" s="91">
        <v>820861814</v>
      </c>
      <c r="R1205" s="87"/>
      <c r="S1205" s="75"/>
      <c r="T1205" s="29"/>
      <c r="U1205" s="29"/>
      <c r="V1205" s="29"/>
      <c r="W1205" s="29"/>
      <c r="X1205" s="29"/>
      <c r="Y1205" s="29"/>
      <c r="Z1205" s="29"/>
      <c r="AA1205" s="29"/>
      <c r="AB1205" s="29"/>
      <c r="AC1205" s="29"/>
      <c r="AD1205" s="29"/>
      <c r="AE1205" s="29"/>
      <c r="AF1205" s="29"/>
      <c r="AG1205" s="29"/>
      <c r="AH1205" s="29"/>
      <c r="AI1205" s="29"/>
      <c r="AJ1205" s="29"/>
      <c r="AK1205" s="29"/>
    </row>
    <row r="1206" spans="2:37" ht="16.2" x14ac:dyDescent="0.3">
      <c r="B1206" s="80">
        <v>1198</v>
      </c>
      <c r="C1206" s="84" t="s">
        <v>1221</v>
      </c>
      <c r="D1206" s="82" t="s">
        <v>1222</v>
      </c>
      <c r="E1206" s="83">
        <v>8906</v>
      </c>
      <c r="F1206" s="83" t="s">
        <v>28</v>
      </c>
      <c r="G1206" s="83" t="s">
        <v>273</v>
      </c>
      <c r="H1206" s="83" t="s">
        <v>14</v>
      </c>
      <c r="I1206" s="83" t="s">
        <v>21</v>
      </c>
      <c r="J1206" s="83">
        <v>35</v>
      </c>
      <c r="K1206" s="83"/>
      <c r="L1206" s="83" t="s">
        <v>12</v>
      </c>
      <c r="M1206" s="83" t="s">
        <v>88</v>
      </c>
      <c r="N1206" s="85">
        <v>45996</v>
      </c>
      <c r="O1206" s="86" t="s">
        <v>10</v>
      </c>
      <c r="P1206" s="85" t="s">
        <v>20</v>
      </c>
      <c r="Q1206" s="91">
        <v>820851814</v>
      </c>
      <c r="R1206" s="87"/>
      <c r="S1206" s="75"/>
      <c r="T1206" s="29"/>
      <c r="U1206" s="29"/>
      <c r="V1206" s="29"/>
      <c r="W1206" s="29"/>
      <c r="X1206" s="29"/>
      <c r="Y1206" s="29"/>
      <c r="Z1206" s="29"/>
      <c r="AA1206" s="29"/>
      <c r="AB1206" s="29"/>
      <c r="AC1206" s="29"/>
      <c r="AD1206" s="29"/>
      <c r="AE1206" s="29"/>
      <c r="AF1206" s="29"/>
      <c r="AG1206" s="29"/>
      <c r="AH1206" s="29"/>
      <c r="AI1206" s="29"/>
      <c r="AJ1206" s="29"/>
      <c r="AK1206" s="29"/>
    </row>
    <row r="1207" spans="2:37" ht="16.2" x14ac:dyDescent="0.3">
      <c r="B1207" s="80">
        <v>1199</v>
      </c>
      <c r="C1207" s="84" t="s">
        <v>1223</v>
      </c>
      <c r="D1207" s="82" t="s">
        <v>1224</v>
      </c>
      <c r="E1207" s="83">
        <v>8907</v>
      </c>
      <c r="F1207" s="83" t="s">
        <v>16</v>
      </c>
      <c r="G1207" s="83" t="s">
        <v>37</v>
      </c>
      <c r="H1207" s="83" t="s">
        <v>14</v>
      </c>
      <c r="I1207" s="83" t="s">
        <v>21</v>
      </c>
      <c r="J1207" s="83">
        <v>35</v>
      </c>
      <c r="K1207" s="83"/>
      <c r="L1207" s="83" t="s">
        <v>12</v>
      </c>
      <c r="M1207" s="83" t="s">
        <v>88</v>
      </c>
      <c r="N1207" s="85">
        <v>45996</v>
      </c>
      <c r="O1207" s="86" t="s">
        <v>10</v>
      </c>
      <c r="P1207" s="85" t="s">
        <v>20</v>
      </c>
      <c r="Q1207" s="91">
        <v>82820861814</v>
      </c>
      <c r="R1207" s="87"/>
      <c r="S1207" s="75"/>
      <c r="T1207" s="29"/>
      <c r="U1207" s="29"/>
      <c r="V1207" s="29"/>
      <c r="W1207" s="29"/>
      <c r="X1207" s="29"/>
      <c r="Y1207" s="29"/>
      <c r="Z1207" s="29"/>
      <c r="AA1207" s="29"/>
      <c r="AB1207" s="29"/>
      <c r="AC1207" s="29"/>
      <c r="AD1207" s="29"/>
      <c r="AE1207" s="29"/>
      <c r="AF1207" s="29"/>
      <c r="AG1207" s="29"/>
      <c r="AH1207" s="29"/>
      <c r="AI1207" s="29"/>
      <c r="AJ1207" s="29"/>
      <c r="AK1207" s="29"/>
    </row>
    <row r="1208" spans="2:37" ht="16.2" x14ac:dyDescent="0.3">
      <c r="B1208" s="80">
        <v>1200</v>
      </c>
      <c r="C1208" s="84" t="s">
        <v>278</v>
      </c>
      <c r="D1208" s="82" t="s">
        <v>277</v>
      </c>
      <c r="E1208" s="83">
        <v>8908</v>
      </c>
      <c r="F1208" s="83" t="s">
        <v>28</v>
      </c>
      <c r="G1208" s="83" t="s">
        <v>80</v>
      </c>
      <c r="H1208" s="83" t="s">
        <v>14</v>
      </c>
      <c r="I1208" s="83" t="s">
        <v>21</v>
      </c>
      <c r="J1208" s="83">
        <v>40</v>
      </c>
      <c r="K1208" s="83"/>
      <c r="L1208" s="83" t="s">
        <v>26</v>
      </c>
      <c r="M1208" s="83" t="s">
        <v>88</v>
      </c>
      <c r="N1208" s="85">
        <v>45996</v>
      </c>
      <c r="O1208" s="86" t="s">
        <v>10</v>
      </c>
      <c r="P1208" s="85" t="s">
        <v>9</v>
      </c>
      <c r="Q1208" s="91" t="s">
        <v>276</v>
      </c>
      <c r="R1208" s="87"/>
      <c r="S1208" s="75"/>
      <c r="T1208" s="29"/>
      <c r="U1208" s="29"/>
      <c r="V1208" s="29"/>
      <c r="W1208" s="29"/>
      <c r="X1208" s="29"/>
      <c r="Y1208" s="29"/>
      <c r="Z1208" s="29"/>
      <c r="AA1208" s="29"/>
      <c r="AB1208" s="29"/>
      <c r="AC1208" s="29"/>
      <c r="AD1208" s="29"/>
      <c r="AE1208" s="29"/>
      <c r="AF1208" s="29"/>
      <c r="AG1208" s="29"/>
      <c r="AH1208" s="29"/>
      <c r="AI1208" s="29"/>
      <c r="AJ1208" s="29"/>
      <c r="AK1208" s="29"/>
    </row>
    <row r="1209" spans="2:37" ht="16.2" x14ac:dyDescent="0.3">
      <c r="B1209" s="80">
        <v>1201</v>
      </c>
      <c r="C1209" s="84" t="s">
        <v>864</v>
      </c>
      <c r="D1209" s="82" t="s">
        <v>865</v>
      </c>
      <c r="E1209" s="83">
        <v>8909</v>
      </c>
      <c r="F1209" s="83" t="s">
        <v>16</v>
      </c>
      <c r="G1209" s="84" t="s">
        <v>72</v>
      </c>
      <c r="H1209" s="83" t="s">
        <v>14</v>
      </c>
      <c r="I1209" s="83" t="s">
        <v>21</v>
      </c>
      <c r="J1209" s="83">
        <v>55</v>
      </c>
      <c r="K1209" s="83"/>
      <c r="L1209" s="83" t="s">
        <v>26</v>
      </c>
      <c r="M1209" s="83" t="s">
        <v>88</v>
      </c>
      <c r="N1209" s="85">
        <v>45996</v>
      </c>
      <c r="O1209" s="86" t="s">
        <v>25</v>
      </c>
      <c r="P1209" s="85" t="s">
        <v>20</v>
      </c>
      <c r="Q1209" s="91">
        <v>997118804</v>
      </c>
      <c r="R1209" s="87"/>
      <c r="S1209" s="75"/>
      <c r="T1209" s="29"/>
      <c r="U1209" s="29"/>
      <c r="V1209" s="29"/>
      <c r="W1209" s="29"/>
      <c r="X1209" s="29"/>
      <c r="Y1209" s="29"/>
      <c r="Z1209" s="29"/>
      <c r="AA1209" s="29"/>
      <c r="AB1209" s="29"/>
      <c r="AC1209" s="29"/>
      <c r="AD1209" s="29"/>
      <c r="AE1209" s="29"/>
      <c r="AF1209" s="29"/>
      <c r="AG1209" s="29"/>
      <c r="AH1209" s="29"/>
      <c r="AI1209" s="29"/>
      <c r="AJ1209" s="29"/>
      <c r="AK1209" s="29"/>
    </row>
    <row r="1210" spans="2:37" ht="16.2" x14ac:dyDescent="0.3">
      <c r="B1210" s="80">
        <v>1202</v>
      </c>
      <c r="C1210" s="84" t="s">
        <v>529</v>
      </c>
      <c r="D1210" s="82" t="s">
        <v>528</v>
      </c>
      <c r="E1210" s="83">
        <v>8910</v>
      </c>
      <c r="F1210" s="83" t="s">
        <v>16</v>
      </c>
      <c r="G1210" s="83" t="s">
        <v>237</v>
      </c>
      <c r="H1210" s="83" t="s">
        <v>14</v>
      </c>
      <c r="I1210" s="83" t="s">
        <v>21</v>
      </c>
      <c r="J1210" s="83">
        <v>55</v>
      </c>
      <c r="K1210" s="83"/>
      <c r="L1210" s="83" t="s">
        <v>26</v>
      </c>
      <c r="M1210" s="83" t="s">
        <v>88</v>
      </c>
      <c r="N1210" s="85">
        <v>45996</v>
      </c>
      <c r="O1210" s="86" t="s">
        <v>10</v>
      </c>
      <c r="P1210" s="85" t="s">
        <v>20</v>
      </c>
      <c r="Q1210" s="91">
        <v>997118804</v>
      </c>
      <c r="R1210" s="87"/>
      <c r="S1210" s="75"/>
      <c r="T1210" s="29"/>
      <c r="U1210" s="29"/>
      <c r="V1210" s="29"/>
      <c r="W1210" s="29"/>
      <c r="X1210" s="29"/>
      <c r="Y1210" s="29"/>
      <c r="Z1210" s="29"/>
      <c r="AA1210" s="29"/>
      <c r="AB1210" s="29"/>
      <c r="AC1210" s="29"/>
      <c r="AD1210" s="29"/>
      <c r="AE1210" s="29"/>
      <c r="AF1210" s="29"/>
      <c r="AG1210" s="29"/>
      <c r="AH1210" s="29"/>
      <c r="AI1210" s="29"/>
      <c r="AJ1210" s="29"/>
      <c r="AK1210" s="29"/>
    </row>
    <row r="1211" spans="2:37" ht="16.2" x14ac:dyDescent="0.3">
      <c r="B1211" s="80">
        <v>1203</v>
      </c>
      <c r="C1211" s="84" t="s">
        <v>1067</v>
      </c>
      <c r="D1211" s="82" t="s">
        <v>1068</v>
      </c>
      <c r="E1211" s="83">
        <v>8911</v>
      </c>
      <c r="F1211" s="83" t="s">
        <v>28</v>
      </c>
      <c r="G1211" s="83" t="s">
        <v>83</v>
      </c>
      <c r="H1211" s="83" t="s">
        <v>14</v>
      </c>
      <c r="I1211" s="83" t="s">
        <v>1341</v>
      </c>
      <c r="J1211" s="83">
        <v>20</v>
      </c>
      <c r="K1211" s="83"/>
      <c r="L1211" s="83" t="s">
        <v>12</v>
      </c>
      <c r="M1211" s="83" t="s">
        <v>88</v>
      </c>
      <c r="N1211" s="85">
        <v>45996</v>
      </c>
      <c r="O1211" s="86" t="s">
        <v>25</v>
      </c>
      <c r="P1211" s="85" t="s">
        <v>9</v>
      </c>
      <c r="Q1211" s="91">
        <v>994689077</v>
      </c>
      <c r="R1211" s="87"/>
      <c r="S1211" s="75"/>
      <c r="T1211" s="29"/>
      <c r="U1211" s="29"/>
      <c r="V1211" s="29"/>
      <c r="W1211" s="29"/>
      <c r="X1211" s="29"/>
      <c r="Y1211" s="29"/>
      <c r="Z1211" s="29"/>
      <c r="AA1211" s="29"/>
      <c r="AB1211" s="29"/>
      <c r="AC1211" s="29"/>
      <c r="AD1211" s="29"/>
      <c r="AE1211" s="29"/>
      <c r="AF1211" s="29"/>
      <c r="AG1211" s="29"/>
      <c r="AH1211" s="29"/>
      <c r="AI1211" s="29"/>
      <c r="AJ1211" s="29"/>
      <c r="AK1211" s="29"/>
    </row>
    <row r="1212" spans="2:37" ht="16.2" x14ac:dyDescent="0.3">
      <c r="B1212" s="80">
        <v>1204</v>
      </c>
      <c r="C1212" s="84" t="s">
        <v>1065</v>
      </c>
      <c r="D1212" s="82" t="s">
        <v>1066</v>
      </c>
      <c r="E1212" s="83">
        <v>8912</v>
      </c>
      <c r="F1212" s="83" t="s">
        <v>16</v>
      </c>
      <c r="G1212" s="83" t="s">
        <v>133</v>
      </c>
      <c r="H1212" s="83" t="s">
        <v>14</v>
      </c>
      <c r="I1212" s="83" t="s">
        <v>1341</v>
      </c>
      <c r="J1212" s="83">
        <v>20</v>
      </c>
      <c r="K1212" s="83"/>
      <c r="L1212" s="83" t="s">
        <v>12</v>
      </c>
      <c r="M1212" s="83" t="s">
        <v>88</v>
      </c>
      <c r="N1212" s="85">
        <v>45996</v>
      </c>
      <c r="O1212" s="86" t="s">
        <v>10</v>
      </c>
      <c r="P1212" s="85" t="s">
        <v>9</v>
      </c>
      <c r="Q1212" s="91">
        <v>859437143</v>
      </c>
      <c r="R1212" s="87"/>
      <c r="S1212" s="75"/>
      <c r="T1212" s="29"/>
      <c r="U1212" s="29"/>
      <c r="V1212" s="29"/>
      <c r="W1212" s="29"/>
      <c r="X1212" s="29"/>
      <c r="Y1212" s="29"/>
      <c r="Z1212" s="29"/>
      <c r="AA1212" s="29"/>
      <c r="AB1212" s="29"/>
      <c r="AC1212" s="29"/>
      <c r="AD1212" s="29"/>
      <c r="AE1212" s="29"/>
      <c r="AF1212" s="29"/>
      <c r="AG1212" s="29"/>
      <c r="AH1212" s="29"/>
      <c r="AI1212" s="29"/>
      <c r="AJ1212" s="29"/>
      <c r="AK1212" s="29"/>
    </row>
    <row r="1213" spans="2:37" ht="16.2" x14ac:dyDescent="0.3">
      <c r="B1213" s="80">
        <v>1205</v>
      </c>
      <c r="C1213" s="84" t="s">
        <v>1063</v>
      </c>
      <c r="D1213" s="82" t="s">
        <v>1064</v>
      </c>
      <c r="E1213" s="83">
        <v>8913</v>
      </c>
      <c r="F1213" s="83" t="s">
        <v>16</v>
      </c>
      <c r="G1213" s="84" t="s">
        <v>46</v>
      </c>
      <c r="H1213" s="83" t="s">
        <v>14</v>
      </c>
      <c r="I1213" s="83" t="s">
        <v>1341</v>
      </c>
      <c r="J1213" s="83">
        <v>20</v>
      </c>
      <c r="K1213" s="83"/>
      <c r="L1213" s="83" t="s">
        <v>12</v>
      </c>
      <c r="M1213" s="83" t="s">
        <v>88</v>
      </c>
      <c r="N1213" s="85">
        <v>45996</v>
      </c>
      <c r="O1213" s="86" t="s">
        <v>10</v>
      </c>
      <c r="P1213" s="85" t="s">
        <v>0</v>
      </c>
      <c r="Q1213" s="91"/>
      <c r="R1213" s="87"/>
      <c r="S1213" s="75"/>
      <c r="T1213" s="29"/>
      <c r="U1213" s="29"/>
      <c r="V1213" s="29"/>
      <c r="W1213" s="29"/>
      <c r="X1213" s="29"/>
      <c r="Y1213" s="29"/>
      <c r="Z1213" s="29"/>
      <c r="AA1213" s="29"/>
      <c r="AB1213" s="29"/>
      <c r="AC1213" s="29"/>
      <c r="AD1213" s="29"/>
      <c r="AE1213" s="29"/>
      <c r="AF1213" s="29"/>
      <c r="AG1213" s="29"/>
      <c r="AH1213" s="29"/>
      <c r="AI1213" s="29"/>
      <c r="AJ1213" s="29"/>
      <c r="AK1213" s="29"/>
    </row>
    <row r="1214" spans="2:37" ht="16.2" x14ac:dyDescent="0.3">
      <c r="B1214" s="80">
        <v>1206</v>
      </c>
      <c r="C1214" s="84" t="s">
        <v>619</v>
      </c>
      <c r="D1214" s="82" t="s">
        <v>618</v>
      </c>
      <c r="E1214" s="83">
        <v>8914</v>
      </c>
      <c r="F1214" s="83" t="s">
        <v>28</v>
      </c>
      <c r="G1214" s="83" t="s">
        <v>37</v>
      </c>
      <c r="H1214" s="83" t="s">
        <v>14</v>
      </c>
      <c r="I1214" s="83" t="s">
        <v>785</v>
      </c>
      <c r="J1214" s="83">
        <v>40</v>
      </c>
      <c r="K1214" s="83"/>
      <c r="L1214" s="83" t="s">
        <v>12</v>
      </c>
      <c r="M1214" s="83" t="s">
        <v>88</v>
      </c>
      <c r="N1214" s="85">
        <v>45996</v>
      </c>
      <c r="O1214" s="86" t="s">
        <v>10</v>
      </c>
      <c r="P1214" s="85" t="s">
        <v>20</v>
      </c>
      <c r="Q1214" s="91">
        <v>811684297</v>
      </c>
      <c r="R1214" s="87"/>
      <c r="S1214" s="75"/>
      <c r="T1214" s="29"/>
      <c r="U1214" s="29"/>
      <c r="V1214" s="29"/>
      <c r="W1214" s="29"/>
      <c r="X1214" s="29"/>
      <c r="Y1214" s="29"/>
      <c r="Z1214" s="29"/>
      <c r="AA1214" s="29"/>
      <c r="AB1214" s="29"/>
      <c r="AC1214" s="29"/>
      <c r="AD1214" s="29"/>
      <c r="AE1214" s="29"/>
      <c r="AF1214" s="29"/>
      <c r="AG1214" s="29"/>
      <c r="AH1214" s="29"/>
      <c r="AI1214" s="29"/>
      <c r="AJ1214" s="29"/>
      <c r="AK1214" s="29"/>
    </row>
    <row r="1215" spans="2:37" ht="16.2" x14ac:dyDescent="0.3">
      <c r="B1215" s="80">
        <v>1207</v>
      </c>
      <c r="C1215" s="84" t="s">
        <v>542</v>
      </c>
      <c r="D1215" s="82" t="s">
        <v>541</v>
      </c>
      <c r="E1215" s="83">
        <v>8915</v>
      </c>
      <c r="F1215" s="83" t="s">
        <v>28</v>
      </c>
      <c r="G1215" s="83" t="s">
        <v>167</v>
      </c>
      <c r="H1215" s="83" t="s">
        <v>14</v>
      </c>
      <c r="I1215" s="83" t="s">
        <v>785</v>
      </c>
      <c r="J1215" s="83">
        <v>80</v>
      </c>
      <c r="K1215" s="83"/>
      <c r="L1215" s="83" t="s">
        <v>26</v>
      </c>
      <c r="M1215" s="83" t="s">
        <v>88</v>
      </c>
      <c r="N1215" s="85">
        <v>45996</v>
      </c>
      <c r="O1215" s="86" t="s">
        <v>25</v>
      </c>
      <c r="P1215" s="85" t="s">
        <v>20</v>
      </c>
      <c r="Q1215" s="91">
        <v>979872836</v>
      </c>
      <c r="R1215" s="87"/>
      <c r="S1215" s="75"/>
      <c r="T1215" s="29"/>
      <c r="U1215" s="29"/>
      <c r="V1215" s="29"/>
      <c r="W1215" s="29"/>
      <c r="X1215" s="29"/>
      <c r="Y1215" s="29"/>
      <c r="Z1215" s="29"/>
      <c r="AA1215" s="29"/>
      <c r="AB1215" s="29"/>
      <c r="AC1215" s="29"/>
      <c r="AD1215" s="29"/>
      <c r="AE1215" s="29"/>
      <c r="AF1215" s="29"/>
      <c r="AG1215" s="29"/>
      <c r="AH1215" s="29"/>
      <c r="AI1215" s="29"/>
      <c r="AJ1215" s="29"/>
      <c r="AK1215" s="29"/>
    </row>
    <row r="1216" spans="2:37" ht="16.2" x14ac:dyDescent="0.3">
      <c r="B1216" s="80">
        <v>1208</v>
      </c>
      <c r="C1216" s="84" t="s">
        <v>366</v>
      </c>
      <c r="D1216" s="82" t="s">
        <v>365</v>
      </c>
      <c r="E1216" s="83">
        <v>8916</v>
      </c>
      <c r="F1216" s="83" t="s">
        <v>16</v>
      </c>
      <c r="G1216" s="83" t="s">
        <v>167</v>
      </c>
      <c r="H1216" s="83" t="s">
        <v>14</v>
      </c>
      <c r="I1216" s="83" t="s">
        <v>785</v>
      </c>
      <c r="J1216" s="83">
        <v>80</v>
      </c>
      <c r="K1216" s="83"/>
      <c r="L1216" s="83" t="s">
        <v>12</v>
      </c>
      <c r="M1216" s="83" t="s">
        <v>88</v>
      </c>
      <c r="N1216" s="85">
        <v>45996</v>
      </c>
      <c r="O1216" s="86" t="s">
        <v>25</v>
      </c>
      <c r="P1216" s="85" t="s">
        <v>20</v>
      </c>
      <c r="Q1216" s="91">
        <v>896653628</v>
      </c>
      <c r="R1216" s="87"/>
      <c r="S1216" s="75"/>
      <c r="T1216" s="29"/>
      <c r="U1216" s="29"/>
      <c r="V1216" s="29"/>
      <c r="W1216" s="29"/>
      <c r="X1216" s="29"/>
      <c r="Y1216" s="29"/>
      <c r="Z1216" s="29"/>
      <c r="AA1216" s="29"/>
      <c r="AB1216" s="29"/>
      <c r="AC1216" s="29"/>
      <c r="AD1216" s="29"/>
      <c r="AE1216" s="29"/>
      <c r="AF1216" s="29"/>
      <c r="AG1216" s="29"/>
      <c r="AH1216" s="29"/>
      <c r="AI1216" s="29"/>
      <c r="AJ1216" s="29"/>
      <c r="AK1216" s="29"/>
    </row>
    <row r="1217" spans="2:37" ht="16.2" x14ac:dyDescent="0.3">
      <c r="B1217" s="80">
        <v>1209</v>
      </c>
      <c r="C1217" s="84" t="s">
        <v>1213</v>
      </c>
      <c r="D1217" s="82" t="s">
        <v>1214</v>
      </c>
      <c r="E1217" s="83">
        <v>8917</v>
      </c>
      <c r="F1217" s="83" t="s">
        <v>16</v>
      </c>
      <c r="G1217" s="83" t="s">
        <v>37</v>
      </c>
      <c r="H1217" s="83" t="s">
        <v>14</v>
      </c>
      <c r="I1217" s="83" t="s">
        <v>21</v>
      </c>
      <c r="J1217" s="83">
        <v>45</v>
      </c>
      <c r="K1217" s="83"/>
      <c r="L1217" s="83" t="s">
        <v>12</v>
      </c>
      <c r="M1217" s="83" t="s">
        <v>88</v>
      </c>
      <c r="N1217" s="85">
        <v>45996</v>
      </c>
      <c r="O1217" s="86" t="s">
        <v>25</v>
      </c>
      <c r="P1217" s="85" t="s">
        <v>20</v>
      </c>
      <c r="Q1217" s="91">
        <v>850539376</v>
      </c>
      <c r="R1217" s="87"/>
      <c r="S1217" s="75"/>
      <c r="T1217" s="29"/>
      <c r="U1217" s="29"/>
      <c r="V1217" s="29"/>
      <c r="W1217" s="29"/>
      <c r="X1217" s="29"/>
      <c r="Y1217" s="29"/>
      <c r="Z1217" s="29"/>
      <c r="AA1217" s="29"/>
      <c r="AB1217" s="29"/>
      <c r="AC1217" s="29"/>
      <c r="AD1217" s="29"/>
      <c r="AE1217" s="29"/>
      <c r="AF1217" s="29"/>
      <c r="AG1217" s="29"/>
      <c r="AH1217" s="29"/>
      <c r="AI1217" s="29"/>
      <c r="AJ1217" s="29"/>
      <c r="AK1217" s="29"/>
    </row>
    <row r="1218" spans="2:37" ht="16.2" x14ac:dyDescent="0.3">
      <c r="B1218" s="80">
        <v>1210</v>
      </c>
      <c r="C1218" s="84" t="s">
        <v>262</v>
      </c>
      <c r="D1218" s="82" t="s">
        <v>261</v>
      </c>
      <c r="E1218" s="83">
        <v>8918</v>
      </c>
      <c r="F1218" s="83" t="s">
        <v>28</v>
      </c>
      <c r="G1218" s="83" t="s">
        <v>37</v>
      </c>
      <c r="H1218" s="83" t="s">
        <v>14</v>
      </c>
      <c r="I1218" s="83" t="s">
        <v>21</v>
      </c>
      <c r="J1218" s="83">
        <v>45</v>
      </c>
      <c r="K1218" s="83"/>
      <c r="L1218" s="83" t="s">
        <v>12</v>
      </c>
      <c r="M1218" s="83" t="s">
        <v>88</v>
      </c>
      <c r="N1218" s="85">
        <v>45996</v>
      </c>
      <c r="O1218" s="86" t="s">
        <v>10</v>
      </c>
      <c r="P1218" s="85" t="s">
        <v>20</v>
      </c>
      <c r="Q1218" s="91" t="s">
        <v>260</v>
      </c>
      <c r="R1218" s="87"/>
      <c r="S1218" s="75"/>
      <c r="T1218" s="29"/>
      <c r="U1218" s="29"/>
      <c r="V1218" s="29"/>
      <c r="W1218" s="29"/>
      <c r="X1218" s="29"/>
      <c r="Y1218" s="29"/>
      <c r="Z1218" s="29"/>
      <c r="AA1218" s="29"/>
      <c r="AB1218" s="29"/>
      <c r="AC1218" s="29"/>
      <c r="AD1218" s="29"/>
      <c r="AE1218" s="29"/>
      <c r="AF1218" s="29"/>
      <c r="AG1218" s="29"/>
      <c r="AH1218" s="29"/>
      <c r="AI1218" s="29"/>
      <c r="AJ1218" s="29"/>
      <c r="AK1218" s="29"/>
    </row>
    <row r="1219" spans="2:37" ht="16.2" x14ac:dyDescent="0.3">
      <c r="B1219" s="80">
        <v>1211</v>
      </c>
      <c r="C1219" s="84" t="s">
        <v>1043</v>
      </c>
      <c r="D1219" s="82" t="s">
        <v>1044</v>
      </c>
      <c r="E1219" s="83">
        <v>8919</v>
      </c>
      <c r="F1219" s="83" t="s">
        <v>28</v>
      </c>
      <c r="G1219" s="84" t="s">
        <v>301</v>
      </c>
      <c r="H1219" s="83" t="s">
        <v>14</v>
      </c>
      <c r="I1219" s="83" t="s">
        <v>21</v>
      </c>
      <c r="J1219" s="83">
        <v>80</v>
      </c>
      <c r="K1219" s="83"/>
      <c r="L1219" s="83" t="s">
        <v>26</v>
      </c>
      <c r="M1219" s="83" t="s">
        <v>88</v>
      </c>
      <c r="N1219" s="85">
        <v>45996</v>
      </c>
      <c r="O1219" s="86" t="s">
        <v>25</v>
      </c>
      <c r="P1219" s="85" t="s">
        <v>20</v>
      </c>
      <c r="Q1219" s="91">
        <v>243979539500</v>
      </c>
      <c r="R1219" s="87"/>
      <c r="S1219" s="75"/>
      <c r="T1219" s="29"/>
      <c r="U1219" s="29"/>
      <c r="V1219" s="29"/>
      <c r="W1219" s="29"/>
      <c r="X1219" s="29"/>
      <c r="Y1219" s="29"/>
      <c r="Z1219" s="29"/>
      <c r="AA1219" s="29"/>
      <c r="AB1219" s="29"/>
      <c r="AC1219" s="29"/>
      <c r="AD1219" s="29"/>
      <c r="AE1219" s="29"/>
      <c r="AF1219" s="29"/>
      <c r="AG1219" s="29"/>
      <c r="AH1219" s="29"/>
      <c r="AI1219" s="29"/>
      <c r="AJ1219" s="29"/>
      <c r="AK1219" s="29"/>
    </row>
    <row r="1220" spans="2:37" ht="16.2" x14ac:dyDescent="0.3">
      <c r="B1220" s="80">
        <v>1212</v>
      </c>
      <c r="C1220" s="84" t="s">
        <v>249</v>
      </c>
      <c r="D1220" s="82" t="s">
        <v>248</v>
      </c>
      <c r="E1220" s="83">
        <v>8920</v>
      </c>
      <c r="F1220" s="83" t="s">
        <v>16</v>
      </c>
      <c r="G1220" s="83" t="s">
        <v>97</v>
      </c>
      <c r="H1220" s="83" t="s">
        <v>14</v>
      </c>
      <c r="I1220" s="83" t="s">
        <v>21</v>
      </c>
      <c r="J1220" s="83">
        <v>80</v>
      </c>
      <c r="K1220" s="83"/>
      <c r="L1220" s="83" t="s">
        <v>26</v>
      </c>
      <c r="M1220" s="83" t="s">
        <v>88</v>
      </c>
      <c r="N1220" s="85">
        <v>45996</v>
      </c>
      <c r="O1220" s="86" t="s">
        <v>25</v>
      </c>
      <c r="P1220" s="85" t="s">
        <v>20</v>
      </c>
      <c r="Q1220" s="91">
        <v>993577111</v>
      </c>
      <c r="R1220" s="87"/>
      <c r="S1220" s="75"/>
      <c r="T1220" s="29"/>
      <c r="U1220" s="29"/>
      <c r="V1220" s="29"/>
      <c r="W1220" s="29"/>
      <c r="X1220" s="29"/>
      <c r="Y1220" s="29"/>
      <c r="Z1220" s="29"/>
      <c r="AA1220" s="29"/>
      <c r="AB1220" s="29"/>
      <c r="AC1220" s="29"/>
      <c r="AD1220" s="29"/>
      <c r="AE1220" s="29"/>
      <c r="AF1220" s="29"/>
      <c r="AG1220" s="29"/>
      <c r="AH1220" s="29"/>
      <c r="AI1220" s="29"/>
      <c r="AJ1220" s="29"/>
      <c r="AK1220" s="29"/>
    </row>
    <row r="1221" spans="2:37" ht="16.2" x14ac:dyDescent="0.3">
      <c r="B1221" s="80">
        <v>1213</v>
      </c>
      <c r="C1221" s="84" t="s">
        <v>757</v>
      </c>
      <c r="D1221" s="82" t="s">
        <v>756</v>
      </c>
      <c r="E1221" s="83">
        <v>8921</v>
      </c>
      <c r="F1221" s="83" t="s">
        <v>16</v>
      </c>
      <c r="G1221" s="83" t="s">
        <v>161</v>
      </c>
      <c r="H1221" s="83" t="s">
        <v>14</v>
      </c>
      <c r="I1221" s="83" t="s">
        <v>21</v>
      </c>
      <c r="J1221" s="83">
        <v>100</v>
      </c>
      <c r="K1221" s="83"/>
      <c r="L1221" s="83" t="s">
        <v>26</v>
      </c>
      <c r="M1221" s="83" t="s">
        <v>88</v>
      </c>
      <c r="N1221" s="85">
        <v>45996</v>
      </c>
      <c r="O1221" s="86" t="s">
        <v>25</v>
      </c>
      <c r="P1221" s="85" t="s">
        <v>20</v>
      </c>
      <c r="Q1221" s="91">
        <v>979340056</v>
      </c>
      <c r="R1221" s="87"/>
      <c r="S1221" s="75"/>
      <c r="T1221" s="29"/>
      <c r="U1221" s="29"/>
      <c r="V1221" s="29"/>
      <c r="W1221" s="29"/>
      <c r="X1221" s="29"/>
      <c r="Y1221" s="29"/>
      <c r="Z1221" s="29"/>
      <c r="AA1221" s="29"/>
      <c r="AB1221" s="29"/>
      <c r="AC1221" s="29"/>
      <c r="AD1221" s="29"/>
      <c r="AE1221" s="29"/>
      <c r="AF1221" s="29"/>
      <c r="AG1221" s="29"/>
      <c r="AH1221" s="29"/>
      <c r="AI1221" s="29"/>
      <c r="AJ1221" s="29"/>
      <c r="AK1221" s="29"/>
    </row>
    <row r="1222" spans="2:37" ht="16.2" x14ac:dyDescent="0.3">
      <c r="B1222" s="80">
        <v>1214</v>
      </c>
      <c r="C1222" s="84" t="s">
        <v>854</v>
      </c>
      <c r="D1222" s="82" t="s">
        <v>855</v>
      </c>
      <c r="E1222" s="83">
        <v>8923</v>
      </c>
      <c r="F1222" s="83" t="s">
        <v>28</v>
      </c>
      <c r="G1222" s="83" t="s">
        <v>124</v>
      </c>
      <c r="H1222" s="83" t="s">
        <v>14</v>
      </c>
      <c r="I1222" s="83" t="s">
        <v>21</v>
      </c>
      <c r="J1222" s="83">
        <v>55</v>
      </c>
      <c r="K1222" s="83"/>
      <c r="L1222" s="83" t="s">
        <v>26</v>
      </c>
      <c r="M1222" s="83" t="s">
        <v>88</v>
      </c>
      <c r="N1222" s="85">
        <v>45996</v>
      </c>
      <c r="O1222" s="86" t="s">
        <v>25</v>
      </c>
      <c r="P1222" s="85" t="s">
        <v>20</v>
      </c>
      <c r="Q1222" s="91">
        <v>974779917</v>
      </c>
      <c r="R1222" s="87"/>
      <c r="S1222" s="75"/>
      <c r="T1222" s="29"/>
      <c r="U1222" s="29"/>
      <c r="V1222" s="29"/>
      <c r="W1222" s="29"/>
      <c r="X1222" s="29"/>
      <c r="Y1222" s="29"/>
      <c r="Z1222" s="29"/>
      <c r="AA1222" s="29"/>
      <c r="AB1222" s="29"/>
      <c r="AC1222" s="29"/>
      <c r="AD1222" s="29"/>
      <c r="AE1222" s="29"/>
      <c r="AF1222" s="29"/>
      <c r="AG1222" s="29"/>
      <c r="AH1222" s="29"/>
      <c r="AI1222" s="29"/>
      <c r="AJ1222" s="29"/>
      <c r="AK1222" s="29"/>
    </row>
    <row r="1223" spans="2:37" ht="16.2" x14ac:dyDescent="0.3">
      <c r="B1223" s="80">
        <v>1215</v>
      </c>
      <c r="C1223" s="84" t="s">
        <v>332</v>
      </c>
      <c r="D1223" s="82" t="s">
        <v>331</v>
      </c>
      <c r="E1223" s="83">
        <v>8922</v>
      </c>
      <c r="F1223" s="83" t="s">
        <v>16</v>
      </c>
      <c r="G1223" s="84" t="s">
        <v>164</v>
      </c>
      <c r="H1223" s="83" t="s">
        <v>14</v>
      </c>
      <c r="I1223" s="83" t="s">
        <v>21</v>
      </c>
      <c r="J1223" s="83">
        <v>100</v>
      </c>
      <c r="K1223" s="83"/>
      <c r="L1223" s="83" t="s">
        <v>26</v>
      </c>
      <c r="M1223" s="83" t="s">
        <v>88</v>
      </c>
      <c r="N1223" s="85">
        <v>45996</v>
      </c>
      <c r="O1223" s="86" t="s">
        <v>25</v>
      </c>
      <c r="P1223" s="85" t="s">
        <v>20</v>
      </c>
      <c r="Q1223" s="91">
        <v>974779917</v>
      </c>
      <c r="R1223" s="87"/>
      <c r="S1223" s="75"/>
      <c r="T1223" s="29"/>
      <c r="U1223" s="29"/>
      <c r="V1223" s="29"/>
      <c r="W1223" s="29"/>
      <c r="X1223" s="29"/>
      <c r="Y1223" s="29"/>
      <c r="Z1223" s="29"/>
      <c r="AA1223" s="29"/>
      <c r="AB1223" s="29"/>
      <c r="AC1223" s="29"/>
      <c r="AD1223" s="29"/>
      <c r="AE1223" s="29"/>
      <c r="AF1223" s="29"/>
      <c r="AG1223" s="29"/>
      <c r="AH1223" s="29"/>
      <c r="AI1223" s="29"/>
      <c r="AJ1223" s="29"/>
      <c r="AK1223" s="29"/>
    </row>
    <row r="1224" spans="2:37" ht="16.2" x14ac:dyDescent="0.3">
      <c r="B1224" s="80">
        <v>1216</v>
      </c>
      <c r="C1224" s="84" t="s">
        <v>803</v>
      </c>
      <c r="D1224" s="82" t="s">
        <v>802</v>
      </c>
      <c r="E1224" s="83">
        <v>8924</v>
      </c>
      <c r="F1224" s="83" t="s">
        <v>28</v>
      </c>
      <c r="G1224" s="83" t="s">
        <v>133</v>
      </c>
      <c r="H1224" s="83" t="s">
        <v>14</v>
      </c>
      <c r="I1224" s="83" t="s">
        <v>21</v>
      </c>
      <c r="J1224" s="83">
        <v>35</v>
      </c>
      <c r="K1224" s="83"/>
      <c r="L1224" s="83" t="s">
        <v>12</v>
      </c>
      <c r="M1224" s="83" t="s">
        <v>88</v>
      </c>
      <c r="N1224" s="85">
        <v>45996</v>
      </c>
      <c r="O1224" s="86" t="s">
        <v>10</v>
      </c>
      <c r="P1224" s="85" t="s">
        <v>9</v>
      </c>
      <c r="Q1224" s="91">
        <v>820861814</v>
      </c>
      <c r="R1224" s="87"/>
      <c r="S1224" s="75"/>
      <c r="T1224" s="29"/>
      <c r="U1224" s="29"/>
      <c r="V1224" s="29"/>
      <c r="W1224" s="29"/>
      <c r="X1224" s="29"/>
      <c r="Y1224" s="29"/>
      <c r="Z1224" s="29"/>
      <c r="AA1224" s="29"/>
      <c r="AB1224" s="29"/>
      <c r="AC1224" s="29"/>
      <c r="AD1224" s="29"/>
      <c r="AE1224" s="29"/>
      <c r="AF1224" s="29"/>
      <c r="AG1224" s="29"/>
      <c r="AH1224" s="29"/>
      <c r="AI1224" s="29"/>
      <c r="AJ1224" s="29"/>
      <c r="AK1224" s="29"/>
    </row>
    <row r="1225" spans="2:37" ht="16.2" x14ac:dyDescent="0.3">
      <c r="B1225" s="80">
        <v>1217</v>
      </c>
      <c r="C1225" s="84" t="s">
        <v>806</v>
      </c>
      <c r="D1225" s="82" t="s">
        <v>805</v>
      </c>
      <c r="E1225" s="83">
        <v>8925</v>
      </c>
      <c r="F1225" s="83" t="s">
        <v>16</v>
      </c>
      <c r="G1225" s="83" t="s">
        <v>15</v>
      </c>
      <c r="H1225" s="83" t="s">
        <v>14</v>
      </c>
      <c r="I1225" s="83" t="s">
        <v>785</v>
      </c>
      <c r="J1225" s="83">
        <v>29.13</v>
      </c>
      <c r="K1225" s="83"/>
      <c r="L1225" s="83" t="s">
        <v>12</v>
      </c>
      <c r="M1225" s="83" t="s">
        <v>88</v>
      </c>
      <c r="N1225" s="85">
        <v>45996</v>
      </c>
      <c r="O1225" s="86" t="s">
        <v>10</v>
      </c>
      <c r="P1225" s="85" t="s">
        <v>9</v>
      </c>
      <c r="Q1225" s="91">
        <v>820861814</v>
      </c>
      <c r="R1225" s="87"/>
      <c r="S1225" s="75"/>
      <c r="T1225" s="29"/>
      <c r="U1225" s="29"/>
      <c r="V1225" s="29"/>
      <c r="W1225" s="29"/>
      <c r="X1225" s="29"/>
      <c r="Y1225" s="29"/>
      <c r="Z1225" s="29"/>
      <c r="AA1225" s="29"/>
      <c r="AB1225" s="29"/>
      <c r="AC1225" s="29"/>
      <c r="AD1225" s="29"/>
      <c r="AE1225" s="29"/>
      <c r="AF1225" s="29"/>
      <c r="AG1225" s="29"/>
      <c r="AH1225" s="29"/>
      <c r="AI1225" s="29"/>
      <c r="AJ1225" s="29"/>
      <c r="AK1225" s="29"/>
    </row>
    <row r="1226" spans="2:37" ht="16.2" x14ac:dyDescent="0.3">
      <c r="B1226" s="80">
        <v>1218</v>
      </c>
      <c r="C1226" s="84" t="s">
        <v>268</v>
      </c>
      <c r="D1226" s="82" t="s">
        <v>267</v>
      </c>
      <c r="E1226" s="83">
        <v>8926</v>
      </c>
      <c r="F1226" s="83" t="s">
        <v>28</v>
      </c>
      <c r="G1226" s="83" t="s">
        <v>80</v>
      </c>
      <c r="H1226" s="83" t="s">
        <v>14</v>
      </c>
      <c r="I1226" s="83" t="s">
        <v>93</v>
      </c>
      <c r="J1226" s="83">
        <v>40</v>
      </c>
      <c r="K1226" s="84"/>
      <c r="L1226" s="83" t="s">
        <v>12</v>
      </c>
      <c r="M1226" s="83" t="s">
        <v>88</v>
      </c>
      <c r="N1226" s="85">
        <v>45996</v>
      </c>
      <c r="O1226" s="86" t="s">
        <v>10</v>
      </c>
      <c r="P1226" s="85" t="s">
        <v>9</v>
      </c>
      <c r="Q1226" s="91">
        <v>850136358</v>
      </c>
      <c r="R1226" s="87"/>
      <c r="S1226" s="75"/>
      <c r="T1226" s="29"/>
      <c r="U1226" s="29"/>
      <c r="V1226" s="29"/>
      <c r="W1226" s="29"/>
      <c r="X1226" s="29"/>
      <c r="Y1226" s="29"/>
      <c r="Z1226" s="29"/>
      <c r="AA1226" s="29"/>
      <c r="AB1226" s="29"/>
      <c r="AC1226" s="29"/>
      <c r="AD1226" s="29"/>
      <c r="AE1226" s="29"/>
      <c r="AF1226" s="29"/>
      <c r="AG1226" s="29"/>
      <c r="AH1226" s="29"/>
      <c r="AI1226" s="29"/>
      <c r="AJ1226" s="29"/>
      <c r="AK1226" s="29"/>
    </row>
    <row r="1227" spans="2:37" ht="16.2" x14ac:dyDescent="0.3">
      <c r="B1227" s="80">
        <v>1219</v>
      </c>
      <c r="C1227" s="84" t="s">
        <v>962</v>
      </c>
      <c r="D1227" s="82" t="s">
        <v>963</v>
      </c>
      <c r="E1227" s="83">
        <v>8928</v>
      </c>
      <c r="F1227" s="83" t="s">
        <v>16</v>
      </c>
      <c r="G1227" s="83" t="s">
        <v>15</v>
      </c>
      <c r="H1227" s="83" t="s">
        <v>14</v>
      </c>
      <c r="I1227" s="83" t="s">
        <v>21</v>
      </c>
      <c r="J1227" s="83">
        <v>40</v>
      </c>
      <c r="K1227" s="84"/>
      <c r="L1227" s="83" t="s">
        <v>26</v>
      </c>
      <c r="M1227" s="83" t="s">
        <v>88</v>
      </c>
      <c r="N1227" s="85">
        <v>45996</v>
      </c>
      <c r="O1227" s="86" t="s">
        <v>10</v>
      </c>
      <c r="P1227" s="85" t="s">
        <v>9</v>
      </c>
      <c r="Q1227" s="91">
        <v>810647636</v>
      </c>
      <c r="R1227" s="87"/>
      <c r="S1227" s="75"/>
      <c r="T1227" s="29"/>
      <c r="U1227" s="29"/>
      <c r="V1227" s="29"/>
      <c r="W1227" s="29"/>
      <c r="X1227" s="29"/>
      <c r="Y1227" s="29"/>
      <c r="Z1227" s="29"/>
      <c r="AA1227" s="29"/>
      <c r="AB1227" s="29"/>
      <c r="AC1227" s="29"/>
      <c r="AD1227" s="29"/>
      <c r="AE1227" s="29"/>
      <c r="AF1227" s="29"/>
      <c r="AG1227" s="29"/>
      <c r="AH1227" s="29"/>
      <c r="AI1227" s="29"/>
      <c r="AJ1227" s="29"/>
      <c r="AK1227" s="29"/>
    </row>
    <row r="1228" spans="2:37" ht="16.2" x14ac:dyDescent="0.3">
      <c r="B1228" s="80">
        <v>1220</v>
      </c>
      <c r="C1228" s="84" t="s">
        <v>1102</v>
      </c>
      <c r="D1228" s="82" t="s">
        <v>1103</v>
      </c>
      <c r="E1228" s="83">
        <v>0</v>
      </c>
      <c r="F1228" s="83" t="s">
        <v>16</v>
      </c>
      <c r="G1228" s="83" t="s">
        <v>133</v>
      </c>
      <c r="H1228" s="83" t="s">
        <v>14</v>
      </c>
      <c r="I1228" s="83" t="s">
        <v>21</v>
      </c>
      <c r="J1228" s="83">
        <v>40</v>
      </c>
      <c r="K1228" s="84"/>
      <c r="L1228" s="83" t="s">
        <v>12</v>
      </c>
      <c r="M1228" s="83" t="s">
        <v>88</v>
      </c>
      <c r="N1228" s="85">
        <v>45996</v>
      </c>
      <c r="O1228" s="86" t="s">
        <v>10</v>
      </c>
      <c r="P1228" s="85" t="s">
        <v>9</v>
      </c>
      <c r="Q1228" s="91"/>
      <c r="R1228" s="87"/>
      <c r="S1228" s="75"/>
      <c r="T1228" s="29"/>
      <c r="U1228" s="29"/>
      <c r="V1228" s="29"/>
      <c r="W1228" s="29"/>
      <c r="X1228" s="29"/>
      <c r="Y1228" s="29"/>
      <c r="Z1228" s="29"/>
      <c r="AA1228" s="29"/>
      <c r="AB1228" s="29"/>
      <c r="AC1228" s="29"/>
      <c r="AD1228" s="29"/>
      <c r="AE1228" s="29"/>
      <c r="AF1228" s="29"/>
      <c r="AG1228" s="29"/>
      <c r="AH1228" s="29"/>
      <c r="AI1228" s="29"/>
      <c r="AJ1228" s="29"/>
      <c r="AK1228" s="29"/>
    </row>
    <row r="1229" spans="2:37" ht="16.2" x14ac:dyDescent="0.3">
      <c r="B1229" s="80">
        <v>1221</v>
      </c>
      <c r="C1229" s="110" t="s">
        <v>1060</v>
      </c>
      <c r="D1229" s="111" t="s">
        <v>1061</v>
      </c>
      <c r="E1229" s="112">
        <v>8927</v>
      </c>
      <c r="F1229" s="112" t="s">
        <v>28</v>
      </c>
      <c r="G1229" s="110" t="s">
        <v>46</v>
      </c>
      <c r="H1229" s="112" t="s">
        <v>14</v>
      </c>
      <c r="I1229" s="112" t="s">
        <v>21</v>
      </c>
      <c r="J1229" s="112">
        <v>40</v>
      </c>
      <c r="K1229" s="110"/>
      <c r="L1229" s="112" t="s">
        <v>26</v>
      </c>
      <c r="M1229" s="112" t="s">
        <v>88</v>
      </c>
      <c r="N1229" s="113">
        <v>45996</v>
      </c>
      <c r="O1229" s="114" t="s">
        <v>10</v>
      </c>
      <c r="P1229" s="113" t="s">
        <v>0</v>
      </c>
      <c r="Q1229" s="115">
        <v>850136358</v>
      </c>
      <c r="R1229" s="116" t="s">
        <v>1062</v>
      </c>
      <c r="S1229" s="75"/>
      <c r="T1229" s="29"/>
      <c r="U1229" s="29"/>
      <c r="V1229" s="29"/>
      <c r="W1229" s="29"/>
      <c r="X1229" s="29"/>
      <c r="Y1229" s="29"/>
      <c r="Z1229" s="29"/>
      <c r="AA1229" s="29"/>
      <c r="AB1229" s="29"/>
      <c r="AC1229" s="29"/>
      <c r="AD1229" s="29"/>
      <c r="AE1229" s="29"/>
      <c r="AF1229" s="29"/>
      <c r="AG1229" s="29"/>
      <c r="AH1229" s="29"/>
      <c r="AI1229" s="29"/>
      <c r="AJ1229" s="29"/>
      <c r="AK1229" s="29"/>
    </row>
    <row r="1230" spans="2:37" ht="16.2" x14ac:dyDescent="0.3">
      <c r="B1230" s="80"/>
      <c r="C1230" s="81"/>
      <c r="D1230" s="82"/>
      <c r="E1230" s="83"/>
      <c r="F1230" s="84"/>
      <c r="G1230" s="84"/>
      <c r="H1230" s="83"/>
      <c r="I1230" s="83"/>
      <c r="J1230" s="84"/>
      <c r="K1230" s="84"/>
      <c r="L1230" s="84"/>
      <c r="M1230" s="84"/>
      <c r="N1230" s="85"/>
      <c r="O1230" s="86"/>
      <c r="P1230" s="97"/>
      <c r="Q1230" s="91"/>
      <c r="R1230" s="91"/>
      <c r="S1230" s="75"/>
      <c r="T1230" s="29"/>
      <c r="U1230" s="29"/>
      <c r="V1230" s="29"/>
      <c r="W1230" s="29"/>
      <c r="X1230" s="29"/>
      <c r="Y1230" s="29"/>
      <c r="Z1230" s="29"/>
      <c r="AA1230" s="29"/>
      <c r="AB1230" s="29"/>
      <c r="AC1230" s="29"/>
      <c r="AD1230" s="29"/>
      <c r="AE1230" s="29"/>
      <c r="AF1230" s="29"/>
      <c r="AG1230" s="29"/>
      <c r="AH1230" s="29"/>
      <c r="AI1230" s="29"/>
      <c r="AJ1230" s="29"/>
      <c r="AK1230" s="29"/>
    </row>
    <row r="1231" spans="2:37" ht="16.2" x14ac:dyDescent="0.3">
      <c r="B1231" s="80"/>
      <c r="C1231" s="81"/>
      <c r="D1231" s="82"/>
      <c r="E1231" s="83"/>
      <c r="F1231" s="84"/>
      <c r="G1231" s="84"/>
      <c r="H1231" s="83"/>
      <c r="I1231" s="83"/>
      <c r="J1231" s="84"/>
      <c r="K1231" s="84"/>
      <c r="L1231" s="84"/>
      <c r="M1231" s="84"/>
      <c r="N1231" s="85"/>
      <c r="O1231" s="86"/>
      <c r="P1231" s="97"/>
      <c r="Q1231" s="91"/>
      <c r="R1231" s="91"/>
      <c r="S1231" s="75"/>
      <c r="T1231" s="29"/>
      <c r="U1231" s="29"/>
      <c r="V1231" s="29"/>
      <c r="W1231" s="29"/>
      <c r="X1231" s="29"/>
      <c r="Y1231" s="29"/>
      <c r="Z1231" s="29"/>
      <c r="AA1231" s="29"/>
      <c r="AB1231" s="29"/>
      <c r="AC1231" s="29"/>
      <c r="AD1231" s="29"/>
      <c r="AE1231" s="29"/>
      <c r="AF1231" s="29"/>
      <c r="AG1231" s="29"/>
      <c r="AH1231" s="29"/>
      <c r="AI1231" s="29"/>
      <c r="AJ1231" s="29"/>
      <c r="AK1231" s="29"/>
    </row>
    <row r="1232" spans="2:37" ht="16.2" x14ac:dyDescent="0.3">
      <c r="B1232" s="80"/>
      <c r="C1232" s="81"/>
      <c r="D1232" s="82"/>
      <c r="E1232" s="83"/>
      <c r="F1232" s="84"/>
      <c r="G1232" s="84"/>
      <c r="H1232" s="83"/>
      <c r="I1232" s="83"/>
      <c r="J1232" s="84"/>
      <c r="K1232" s="84"/>
      <c r="L1232" s="84"/>
      <c r="M1232" s="84"/>
      <c r="N1232" s="85"/>
      <c r="O1232" s="86"/>
      <c r="P1232" s="97"/>
      <c r="Q1232" s="91"/>
      <c r="R1232" s="91"/>
      <c r="S1232" s="75"/>
      <c r="T1232" s="29"/>
      <c r="U1232" s="29"/>
      <c r="V1232" s="29"/>
      <c r="W1232" s="29"/>
      <c r="X1232" s="29"/>
      <c r="Y1232" s="29"/>
      <c r="Z1232" s="29"/>
      <c r="AA1232" s="29"/>
      <c r="AB1232" s="29"/>
      <c r="AC1232" s="29"/>
      <c r="AD1232" s="29"/>
      <c r="AE1232" s="29"/>
      <c r="AF1232" s="29"/>
      <c r="AG1232" s="29"/>
      <c r="AH1232" s="29"/>
      <c r="AI1232" s="29"/>
      <c r="AJ1232" s="29"/>
      <c r="AK1232" s="29"/>
    </row>
    <row r="1233" spans="2:37" ht="16.2" x14ac:dyDescent="0.3">
      <c r="B1233" s="80"/>
      <c r="C1233" s="81"/>
      <c r="D1233" s="82"/>
      <c r="E1233" s="83"/>
      <c r="F1233" s="84"/>
      <c r="G1233" s="84"/>
      <c r="H1233" s="83"/>
      <c r="I1233" s="83"/>
      <c r="J1233" s="84"/>
      <c r="K1233" s="84"/>
      <c r="L1233" s="84"/>
      <c r="M1233" s="84"/>
      <c r="N1233" s="85"/>
      <c r="O1233" s="86"/>
      <c r="P1233" s="97"/>
      <c r="Q1233" s="91"/>
      <c r="R1233" s="91"/>
      <c r="S1233" s="75"/>
      <c r="T1233" s="29"/>
      <c r="U1233" s="29"/>
      <c r="V1233" s="29"/>
      <c r="W1233" s="29"/>
      <c r="X1233" s="29"/>
      <c r="Y1233" s="29"/>
      <c r="Z1233" s="29"/>
      <c r="AA1233" s="29"/>
      <c r="AB1233" s="29"/>
      <c r="AC1233" s="29"/>
      <c r="AD1233" s="29"/>
      <c r="AE1233" s="29"/>
      <c r="AF1233" s="29"/>
      <c r="AG1233" s="29"/>
      <c r="AH1233" s="29"/>
      <c r="AI1233" s="29"/>
      <c r="AJ1233" s="29"/>
      <c r="AK1233" s="29"/>
    </row>
    <row r="1234" spans="2:37" ht="16.2" x14ac:dyDescent="0.3">
      <c r="B1234" s="80"/>
      <c r="C1234" s="81"/>
      <c r="D1234" s="82"/>
      <c r="E1234" s="83"/>
      <c r="F1234" s="84"/>
      <c r="G1234" s="84"/>
      <c r="H1234" s="83"/>
      <c r="I1234" s="83"/>
      <c r="J1234" s="84"/>
      <c r="K1234" s="84"/>
      <c r="L1234" s="84"/>
      <c r="M1234" s="84"/>
      <c r="N1234" s="85"/>
      <c r="O1234" s="86"/>
      <c r="P1234" s="97"/>
      <c r="Q1234" s="91"/>
      <c r="R1234" s="91"/>
      <c r="S1234" s="75"/>
      <c r="T1234" s="29"/>
      <c r="U1234" s="29"/>
      <c r="V1234" s="29"/>
      <c r="W1234" s="29"/>
      <c r="X1234" s="29"/>
      <c r="Y1234" s="29"/>
      <c r="Z1234" s="29"/>
      <c r="AA1234" s="29"/>
      <c r="AB1234" s="29"/>
      <c r="AC1234" s="29"/>
      <c r="AD1234" s="29"/>
      <c r="AE1234" s="29"/>
      <c r="AF1234" s="29"/>
      <c r="AG1234" s="29"/>
      <c r="AH1234" s="29"/>
      <c r="AI1234" s="29"/>
      <c r="AJ1234" s="29"/>
      <c r="AK1234" s="29"/>
    </row>
    <row r="1235" spans="2:37" ht="16.2" x14ac:dyDescent="0.3">
      <c r="B1235" s="80"/>
      <c r="C1235" s="81"/>
      <c r="D1235" s="82"/>
      <c r="E1235" s="83"/>
      <c r="F1235" s="84"/>
      <c r="G1235" s="84"/>
      <c r="H1235" s="83"/>
      <c r="I1235" s="83"/>
      <c r="J1235" s="84"/>
      <c r="K1235" s="84"/>
      <c r="L1235" s="84"/>
      <c r="M1235" s="84"/>
      <c r="N1235" s="85"/>
      <c r="O1235" s="86"/>
      <c r="P1235" s="97"/>
      <c r="Q1235" s="91"/>
      <c r="R1235" s="91"/>
      <c r="S1235" s="75"/>
      <c r="T1235" s="29"/>
      <c r="U1235" s="29"/>
      <c r="V1235" s="29"/>
      <c r="W1235" s="29"/>
      <c r="X1235" s="29"/>
      <c r="Y1235" s="29"/>
      <c r="Z1235" s="29"/>
      <c r="AA1235" s="29"/>
      <c r="AB1235" s="29"/>
      <c r="AC1235" s="29"/>
      <c r="AD1235" s="29"/>
      <c r="AE1235" s="29"/>
      <c r="AF1235" s="29"/>
      <c r="AG1235" s="29"/>
      <c r="AH1235" s="29"/>
      <c r="AI1235" s="29"/>
      <c r="AJ1235" s="29"/>
      <c r="AK1235" s="29"/>
    </row>
    <row r="1236" spans="2:37" ht="16.2" x14ac:dyDescent="0.3">
      <c r="B1236" s="80"/>
      <c r="C1236" s="81"/>
      <c r="D1236" s="82"/>
      <c r="E1236" s="83"/>
      <c r="F1236" s="84"/>
      <c r="G1236" s="84"/>
      <c r="H1236" s="83"/>
      <c r="I1236" s="83"/>
      <c r="J1236" s="84"/>
      <c r="K1236" s="84"/>
      <c r="L1236" s="84"/>
      <c r="M1236" s="84"/>
      <c r="N1236" s="85"/>
      <c r="O1236" s="86"/>
      <c r="P1236" s="97"/>
      <c r="Q1236" s="91"/>
      <c r="R1236" s="91"/>
      <c r="S1236" s="75"/>
      <c r="T1236" s="29"/>
      <c r="U1236" s="29"/>
      <c r="V1236" s="29"/>
      <c r="W1236" s="29"/>
      <c r="X1236" s="29"/>
      <c r="Y1236" s="29"/>
      <c r="Z1236" s="29"/>
      <c r="AA1236" s="29"/>
      <c r="AB1236" s="29"/>
      <c r="AC1236" s="29"/>
      <c r="AD1236" s="29"/>
      <c r="AE1236" s="29"/>
      <c r="AF1236" s="29"/>
      <c r="AG1236" s="29"/>
      <c r="AH1236" s="29"/>
      <c r="AI1236" s="29"/>
      <c r="AJ1236" s="29"/>
      <c r="AK1236" s="29"/>
    </row>
    <row r="1237" spans="2:37" ht="16.2" x14ac:dyDescent="0.3">
      <c r="B1237" s="80"/>
      <c r="C1237" s="81"/>
      <c r="D1237" s="82"/>
      <c r="E1237" s="83"/>
      <c r="F1237" s="84"/>
      <c r="G1237" s="84"/>
      <c r="H1237" s="83"/>
      <c r="I1237" s="83"/>
      <c r="J1237" s="84"/>
      <c r="K1237" s="84"/>
      <c r="L1237" s="84"/>
      <c r="M1237" s="84"/>
      <c r="N1237" s="85"/>
      <c r="O1237" s="86"/>
      <c r="P1237" s="97"/>
      <c r="Q1237" s="91"/>
      <c r="R1237" s="91"/>
      <c r="S1237" s="75"/>
      <c r="T1237" s="29"/>
      <c r="U1237" s="29"/>
      <c r="V1237" s="29"/>
      <c r="W1237" s="29"/>
      <c r="X1237" s="29"/>
      <c r="Y1237" s="29"/>
      <c r="Z1237" s="29"/>
      <c r="AA1237" s="29"/>
      <c r="AB1237" s="29"/>
      <c r="AC1237" s="29"/>
      <c r="AD1237" s="29"/>
      <c r="AE1237" s="29"/>
      <c r="AF1237" s="29"/>
      <c r="AG1237" s="29"/>
      <c r="AH1237" s="29"/>
      <c r="AI1237" s="29"/>
      <c r="AJ1237" s="29"/>
      <c r="AK1237" s="29"/>
    </row>
    <row r="1238" spans="2:37" ht="16.2" x14ac:dyDescent="0.3">
      <c r="B1238" s="80"/>
      <c r="C1238" s="81"/>
      <c r="D1238" s="82"/>
      <c r="E1238" s="83"/>
      <c r="F1238" s="84"/>
      <c r="G1238" s="84"/>
      <c r="H1238" s="83"/>
      <c r="I1238" s="83"/>
      <c r="J1238" s="84"/>
      <c r="K1238" s="84"/>
      <c r="L1238" s="84"/>
      <c r="M1238" s="84"/>
      <c r="N1238" s="85"/>
      <c r="O1238" s="86"/>
      <c r="P1238" s="97"/>
      <c r="Q1238" s="91"/>
      <c r="R1238" s="91"/>
      <c r="S1238" s="75"/>
      <c r="T1238" s="29"/>
      <c r="U1238" s="29"/>
      <c r="V1238" s="29"/>
      <c r="W1238" s="29"/>
      <c r="X1238" s="29"/>
      <c r="Y1238" s="29"/>
      <c r="Z1238" s="29"/>
      <c r="AA1238" s="29"/>
      <c r="AB1238" s="29"/>
      <c r="AC1238" s="29"/>
      <c r="AD1238" s="29"/>
      <c r="AE1238" s="29"/>
      <c r="AF1238" s="29"/>
      <c r="AG1238" s="29"/>
      <c r="AH1238" s="29"/>
      <c r="AI1238" s="29"/>
      <c r="AJ1238" s="29"/>
      <c r="AK1238" s="29"/>
    </row>
    <row r="1239" spans="2:37" ht="16.2" x14ac:dyDescent="0.3">
      <c r="B1239" s="80"/>
      <c r="C1239" s="81"/>
      <c r="D1239" s="82"/>
      <c r="E1239" s="83"/>
      <c r="F1239" s="84"/>
      <c r="G1239" s="84"/>
      <c r="H1239" s="83"/>
      <c r="I1239" s="83"/>
      <c r="J1239" s="84"/>
      <c r="K1239" s="84"/>
      <c r="L1239" s="84"/>
      <c r="M1239" s="84"/>
      <c r="N1239" s="85"/>
      <c r="O1239" s="86"/>
      <c r="P1239" s="97"/>
      <c r="Q1239" s="91"/>
      <c r="R1239" s="91"/>
      <c r="S1239" s="75"/>
      <c r="T1239" s="29"/>
      <c r="U1239" s="29"/>
      <c r="V1239" s="29"/>
      <c r="W1239" s="29"/>
      <c r="X1239" s="29"/>
      <c r="Y1239" s="29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</row>
    <row r="1240" spans="2:37" ht="16.2" x14ac:dyDescent="0.3">
      <c r="B1240" s="80"/>
      <c r="C1240" s="81"/>
      <c r="D1240" s="82"/>
      <c r="E1240" s="83"/>
      <c r="F1240" s="84"/>
      <c r="G1240" s="84"/>
      <c r="H1240" s="83"/>
      <c r="I1240" s="83"/>
      <c r="J1240" s="84"/>
      <c r="K1240" s="84"/>
      <c r="L1240" s="84"/>
      <c r="M1240" s="84"/>
      <c r="N1240" s="85"/>
      <c r="O1240" s="86"/>
      <c r="P1240" s="97"/>
      <c r="Q1240" s="91"/>
      <c r="R1240" s="91"/>
      <c r="S1240" s="75"/>
      <c r="T1240" s="29"/>
      <c r="U1240" s="29"/>
      <c r="V1240" s="29"/>
      <c r="W1240" s="29"/>
      <c r="X1240" s="29"/>
      <c r="Y1240" s="29"/>
      <c r="Z1240" s="29"/>
      <c r="AA1240" s="29"/>
      <c r="AB1240" s="29"/>
      <c r="AC1240" s="29"/>
      <c r="AD1240" s="29"/>
      <c r="AE1240" s="29"/>
      <c r="AF1240" s="29"/>
      <c r="AG1240" s="29"/>
      <c r="AH1240" s="29"/>
      <c r="AI1240" s="29"/>
      <c r="AJ1240" s="29"/>
      <c r="AK1240" s="29"/>
    </row>
    <row r="1241" spans="2:37" ht="16.2" x14ac:dyDescent="0.3">
      <c r="B1241" s="80"/>
      <c r="C1241" s="81"/>
      <c r="D1241" s="82"/>
      <c r="E1241" s="83"/>
      <c r="F1241" s="84"/>
      <c r="G1241" s="84"/>
      <c r="H1241" s="83"/>
      <c r="I1241" s="83"/>
      <c r="J1241" s="84"/>
      <c r="K1241" s="84"/>
      <c r="L1241" s="84"/>
      <c r="M1241" s="84"/>
      <c r="N1241" s="85"/>
      <c r="O1241" s="86"/>
      <c r="P1241" s="97"/>
      <c r="Q1241" s="91"/>
      <c r="R1241" s="91"/>
      <c r="S1241" s="75"/>
      <c r="T1241" s="29"/>
      <c r="U1241" s="29"/>
      <c r="V1241" s="29"/>
      <c r="W1241" s="29"/>
      <c r="X1241" s="29"/>
      <c r="Y1241" s="29"/>
      <c r="Z1241" s="29"/>
      <c r="AA1241" s="29"/>
      <c r="AB1241" s="29"/>
      <c r="AC1241" s="29"/>
      <c r="AD1241" s="29"/>
      <c r="AE1241" s="29"/>
      <c r="AF1241" s="29"/>
      <c r="AG1241" s="29"/>
      <c r="AH1241" s="29"/>
      <c r="AI1241" s="29"/>
      <c r="AJ1241" s="29"/>
      <c r="AK1241" s="29"/>
    </row>
    <row r="1242" spans="2:37" ht="16.2" x14ac:dyDescent="0.3">
      <c r="B1242" s="80"/>
      <c r="C1242" s="81"/>
      <c r="D1242" s="82"/>
      <c r="E1242" s="83"/>
      <c r="F1242" s="84"/>
      <c r="G1242" s="84"/>
      <c r="H1242" s="83"/>
      <c r="I1242" s="83"/>
      <c r="J1242" s="84"/>
      <c r="K1242" s="84"/>
      <c r="L1242" s="84"/>
      <c r="M1242" s="84"/>
      <c r="N1242" s="85"/>
      <c r="O1242" s="86"/>
      <c r="P1242" s="97"/>
      <c r="Q1242" s="91"/>
      <c r="R1242" s="91"/>
      <c r="S1242" s="75"/>
      <c r="T1242" s="29"/>
      <c r="U1242" s="29"/>
      <c r="V1242" s="29"/>
      <c r="W1242" s="29"/>
      <c r="X1242" s="29"/>
      <c r="Y1242" s="29"/>
      <c r="Z1242" s="29"/>
      <c r="AA1242" s="29"/>
      <c r="AB1242" s="29"/>
      <c r="AC1242" s="29"/>
      <c r="AD1242" s="29"/>
      <c r="AE1242" s="29"/>
      <c r="AF1242" s="29"/>
      <c r="AG1242" s="29"/>
      <c r="AH1242" s="29"/>
      <c r="AI1242" s="29"/>
      <c r="AJ1242" s="29"/>
      <c r="AK1242" s="29"/>
    </row>
    <row r="1243" spans="2:37" ht="16.2" x14ac:dyDescent="0.3">
      <c r="B1243" s="80"/>
      <c r="C1243" s="81"/>
      <c r="D1243" s="82"/>
      <c r="E1243" s="83"/>
      <c r="F1243" s="84"/>
      <c r="G1243" s="84"/>
      <c r="H1243" s="83"/>
      <c r="I1243" s="83"/>
      <c r="J1243" s="84"/>
      <c r="K1243" s="84"/>
      <c r="L1243" s="84"/>
      <c r="M1243" s="84"/>
      <c r="N1243" s="85"/>
      <c r="O1243" s="86"/>
      <c r="P1243" s="97"/>
      <c r="Q1243" s="91"/>
      <c r="R1243" s="91"/>
      <c r="S1243" s="75"/>
      <c r="T1243" s="29"/>
      <c r="U1243" s="29"/>
      <c r="V1243" s="29"/>
      <c r="W1243" s="29"/>
      <c r="X1243" s="29"/>
      <c r="Y1243" s="29"/>
      <c r="Z1243" s="29"/>
      <c r="AA1243" s="29"/>
      <c r="AB1243" s="29"/>
      <c r="AC1243" s="29"/>
      <c r="AD1243" s="29"/>
      <c r="AE1243" s="29"/>
      <c r="AF1243" s="29"/>
      <c r="AG1243" s="29"/>
      <c r="AH1243" s="29"/>
      <c r="AI1243" s="29"/>
      <c r="AJ1243" s="29"/>
      <c r="AK1243" s="29"/>
    </row>
    <row r="1244" spans="2:37" ht="16.2" x14ac:dyDescent="0.3">
      <c r="B1244" s="80"/>
      <c r="C1244" s="81"/>
      <c r="D1244" s="82"/>
      <c r="E1244" s="83"/>
      <c r="F1244" s="84"/>
      <c r="G1244" s="84"/>
      <c r="H1244" s="83"/>
      <c r="I1244" s="83"/>
      <c r="J1244" s="84"/>
      <c r="K1244" s="84"/>
      <c r="L1244" s="84"/>
      <c r="M1244" s="84"/>
      <c r="N1244" s="85"/>
      <c r="O1244" s="86"/>
      <c r="P1244" s="97"/>
      <c r="Q1244" s="91"/>
      <c r="R1244" s="91"/>
      <c r="S1244" s="75"/>
      <c r="T1244" s="29"/>
      <c r="U1244" s="29"/>
      <c r="V1244" s="29"/>
      <c r="W1244" s="29"/>
      <c r="X1244" s="29"/>
      <c r="Y1244" s="29"/>
      <c r="Z1244" s="29"/>
      <c r="AA1244" s="29"/>
      <c r="AB1244" s="29"/>
      <c r="AC1244" s="29"/>
      <c r="AD1244" s="29"/>
      <c r="AE1244" s="29"/>
      <c r="AF1244" s="29"/>
      <c r="AG1244" s="29"/>
      <c r="AH1244" s="29"/>
      <c r="AI1244" s="29"/>
      <c r="AJ1244" s="29"/>
      <c r="AK1244" s="29"/>
    </row>
    <row r="1245" spans="2:37" ht="16.2" x14ac:dyDescent="0.3">
      <c r="B1245" s="80"/>
      <c r="C1245" s="81"/>
      <c r="D1245" s="82"/>
      <c r="E1245" s="83"/>
      <c r="F1245" s="84"/>
      <c r="G1245" s="84"/>
      <c r="H1245" s="83"/>
      <c r="I1245" s="83"/>
      <c r="J1245" s="84"/>
      <c r="K1245" s="84"/>
      <c r="L1245" s="84"/>
      <c r="M1245" s="84"/>
      <c r="N1245" s="85"/>
      <c r="O1245" s="86"/>
      <c r="P1245" s="97"/>
      <c r="Q1245" s="91"/>
      <c r="R1245" s="91"/>
      <c r="S1245" s="75"/>
      <c r="T1245" s="29"/>
      <c r="U1245" s="29"/>
      <c r="V1245" s="29"/>
      <c r="W1245" s="29"/>
      <c r="X1245" s="29"/>
      <c r="Y1245" s="29"/>
      <c r="Z1245" s="29"/>
      <c r="AA1245" s="29"/>
      <c r="AB1245" s="29"/>
      <c r="AC1245" s="29"/>
      <c r="AD1245" s="29"/>
      <c r="AE1245" s="29"/>
      <c r="AF1245" s="29"/>
      <c r="AG1245" s="29"/>
      <c r="AH1245" s="29"/>
      <c r="AI1245" s="29"/>
      <c r="AJ1245" s="29"/>
      <c r="AK1245" s="29"/>
    </row>
    <row r="1246" spans="2:37" ht="16.2" x14ac:dyDescent="0.3">
      <c r="B1246" s="80"/>
      <c r="C1246" s="81"/>
      <c r="D1246" s="82"/>
      <c r="E1246" s="83"/>
      <c r="F1246" s="84"/>
      <c r="G1246" s="84"/>
      <c r="H1246" s="83"/>
      <c r="I1246" s="83"/>
      <c r="J1246" s="84"/>
      <c r="K1246" s="84"/>
      <c r="L1246" s="84"/>
      <c r="M1246" s="84"/>
      <c r="N1246" s="85"/>
      <c r="O1246" s="86"/>
      <c r="P1246" s="97"/>
      <c r="Q1246" s="91"/>
      <c r="R1246" s="91"/>
      <c r="S1246" s="75"/>
      <c r="T1246" s="29"/>
      <c r="U1246" s="29"/>
      <c r="V1246" s="29"/>
      <c r="W1246" s="29"/>
      <c r="X1246" s="29"/>
      <c r="Y1246" s="29"/>
      <c r="Z1246" s="29"/>
      <c r="AA1246" s="29"/>
      <c r="AB1246" s="29"/>
      <c r="AC1246" s="29"/>
      <c r="AD1246" s="29"/>
      <c r="AE1246" s="29"/>
      <c r="AF1246" s="29"/>
      <c r="AG1246" s="29"/>
      <c r="AH1246" s="29"/>
      <c r="AI1246" s="29"/>
      <c r="AJ1246" s="29"/>
      <c r="AK1246" s="29"/>
    </row>
    <row r="1247" spans="2:37" ht="16.2" x14ac:dyDescent="0.3">
      <c r="B1247" s="80"/>
      <c r="C1247" s="81"/>
      <c r="D1247" s="82"/>
      <c r="E1247" s="83"/>
      <c r="F1247" s="84"/>
      <c r="G1247" s="84"/>
      <c r="H1247" s="83"/>
      <c r="I1247" s="83"/>
      <c r="J1247" s="84"/>
      <c r="K1247" s="84"/>
      <c r="L1247" s="84"/>
      <c r="M1247" s="84"/>
      <c r="N1247" s="85"/>
      <c r="O1247" s="86"/>
      <c r="P1247" s="97"/>
      <c r="Q1247" s="91"/>
      <c r="R1247" s="91"/>
      <c r="S1247" s="75"/>
      <c r="T1247" s="29"/>
      <c r="U1247" s="29"/>
      <c r="V1247" s="29"/>
      <c r="W1247" s="29"/>
      <c r="X1247" s="29"/>
      <c r="Y1247" s="29"/>
      <c r="Z1247" s="29"/>
      <c r="AA1247" s="29"/>
      <c r="AB1247" s="29"/>
      <c r="AC1247" s="29"/>
      <c r="AD1247" s="29"/>
      <c r="AE1247" s="29"/>
      <c r="AF1247" s="29"/>
      <c r="AG1247" s="29"/>
      <c r="AH1247" s="29"/>
      <c r="AI1247" s="29"/>
      <c r="AJ1247" s="29"/>
      <c r="AK1247" s="29"/>
    </row>
    <row r="1248" spans="2:37" ht="16.2" x14ac:dyDescent="0.3">
      <c r="B1248" s="80"/>
      <c r="C1248" s="81"/>
      <c r="D1248" s="82"/>
      <c r="E1248" s="83"/>
      <c r="F1248" s="84"/>
      <c r="G1248" s="84"/>
      <c r="H1248" s="83"/>
      <c r="I1248" s="83"/>
      <c r="J1248" s="84"/>
      <c r="K1248" s="84"/>
      <c r="L1248" s="84"/>
      <c r="M1248" s="84"/>
      <c r="N1248" s="85"/>
      <c r="O1248" s="86"/>
      <c r="P1248" s="97"/>
      <c r="Q1248" s="91"/>
      <c r="R1248" s="91"/>
      <c r="S1248" s="75"/>
      <c r="T1248" s="29"/>
      <c r="U1248" s="29"/>
      <c r="V1248" s="29"/>
      <c r="W1248" s="29"/>
      <c r="X1248" s="29"/>
      <c r="Y1248" s="29"/>
      <c r="Z1248" s="29"/>
      <c r="AA1248" s="29"/>
      <c r="AB1248" s="29"/>
      <c r="AC1248" s="29"/>
      <c r="AD1248" s="29"/>
      <c r="AE1248" s="29"/>
      <c r="AF1248" s="29"/>
      <c r="AG1248" s="29"/>
      <c r="AH1248" s="29"/>
      <c r="AI1248" s="29"/>
      <c r="AJ1248" s="29"/>
      <c r="AK1248" s="29"/>
    </row>
    <row r="1249" spans="2:37" ht="16.2" x14ac:dyDescent="0.3">
      <c r="B1249" s="80"/>
      <c r="C1249" s="81"/>
      <c r="D1249" s="82"/>
      <c r="E1249" s="83"/>
      <c r="F1249" s="84"/>
      <c r="G1249" s="84"/>
      <c r="H1249" s="83"/>
      <c r="I1249" s="83"/>
      <c r="J1249" s="84"/>
      <c r="K1249" s="84"/>
      <c r="L1249" s="84"/>
      <c r="M1249" s="84"/>
      <c r="N1249" s="85"/>
      <c r="O1249" s="86"/>
      <c r="P1249" s="97"/>
      <c r="Q1249" s="91"/>
      <c r="R1249" s="91"/>
      <c r="S1249" s="75"/>
      <c r="T1249" s="29"/>
      <c r="U1249" s="29"/>
      <c r="V1249" s="29"/>
      <c r="W1249" s="29"/>
      <c r="X1249" s="29"/>
      <c r="Y1249" s="29"/>
      <c r="Z1249" s="29"/>
      <c r="AA1249" s="29"/>
      <c r="AB1249" s="29"/>
      <c r="AC1249" s="29"/>
      <c r="AD1249" s="29"/>
      <c r="AE1249" s="29"/>
      <c r="AF1249" s="29"/>
      <c r="AG1249" s="29"/>
      <c r="AH1249" s="29"/>
      <c r="AI1249" s="29"/>
      <c r="AJ1249" s="29"/>
      <c r="AK1249" s="29"/>
    </row>
    <row r="1250" spans="2:37" ht="16.2" x14ac:dyDescent="0.3">
      <c r="B1250" s="80"/>
      <c r="C1250" s="81"/>
      <c r="D1250" s="82"/>
      <c r="E1250" s="83"/>
      <c r="F1250" s="84"/>
      <c r="G1250" s="84"/>
      <c r="H1250" s="83"/>
      <c r="I1250" s="83"/>
      <c r="J1250" s="84"/>
      <c r="K1250" s="84"/>
      <c r="L1250" s="84"/>
      <c r="M1250" s="84"/>
      <c r="N1250" s="85"/>
      <c r="O1250" s="86"/>
      <c r="P1250" s="97"/>
      <c r="Q1250" s="91"/>
      <c r="R1250" s="91"/>
      <c r="S1250" s="75"/>
      <c r="T1250" s="29"/>
      <c r="U1250" s="29"/>
      <c r="V1250" s="29"/>
      <c r="W1250" s="29"/>
      <c r="X1250" s="29"/>
      <c r="Y1250" s="29"/>
      <c r="Z1250" s="29"/>
      <c r="AA1250" s="29"/>
      <c r="AB1250" s="29"/>
      <c r="AC1250" s="29"/>
      <c r="AD1250" s="29"/>
      <c r="AE1250" s="29"/>
      <c r="AF1250" s="29"/>
      <c r="AG1250" s="29"/>
      <c r="AH1250" s="29"/>
      <c r="AI1250" s="29"/>
      <c r="AJ1250" s="29"/>
      <c r="AK1250" s="29"/>
    </row>
    <row r="1251" spans="2:37" ht="16.2" x14ac:dyDescent="0.3">
      <c r="B1251" s="80"/>
      <c r="C1251" s="81"/>
      <c r="D1251" s="82"/>
      <c r="E1251" s="83"/>
      <c r="F1251" s="84"/>
      <c r="G1251" s="84"/>
      <c r="H1251" s="83"/>
      <c r="I1251" s="83"/>
      <c r="J1251" s="84"/>
      <c r="K1251" s="84"/>
      <c r="L1251" s="84"/>
      <c r="M1251" s="84"/>
      <c r="N1251" s="85"/>
      <c r="O1251" s="86"/>
      <c r="P1251" s="97"/>
      <c r="Q1251" s="91"/>
      <c r="R1251" s="91"/>
      <c r="S1251" s="75"/>
      <c r="T1251" s="29"/>
      <c r="U1251" s="29"/>
      <c r="V1251" s="29"/>
      <c r="W1251" s="29"/>
      <c r="X1251" s="29"/>
      <c r="Y1251" s="29"/>
      <c r="Z1251" s="29"/>
      <c r="AA1251" s="29"/>
      <c r="AB1251" s="29"/>
      <c r="AC1251" s="29"/>
      <c r="AD1251" s="29"/>
      <c r="AE1251" s="29"/>
      <c r="AF1251" s="29"/>
      <c r="AG1251" s="29"/>
      <c r="AH1251" s="29"/>
      <c r="AI1251" s="29"/>
      <c r="AJ1251" s="29"/>
      <c r="AK1251" s="29"/>
    </row>
    <row r="1252" spans="2:37" ht="16.2" x14ac:dyDescent="0.3">
      <c r="B1252" s="80"/>
      <c r="C1252" s="81"/>
      <c r="D1252" s="82"/>
      <c r="E1252" s="83"/>
      <c r="F1252" s="84"/>
      <c r="G1252" s="84"/>
      <c r="H1252" s="83"/>
      <c r="I1252" s="83"/>
      <c r="J1252" s="84"/>
      <c r="K1252" s="84"/>
      <c r="L1252" s="84"/>
      <c r="M1252" s="84"/>
      <c r="N1252" s="85"/>
      <c r="O1252" s="86"/>
      <c r="P1252" s="97"/>
      <c r="Q1252" s="91"/>
      <c r="R1252" s="91"/>
      <c r="S1252" s="75"/>
      <c r="T1252" s="29"/>
      <c r="U1252" s="29"/>
      <c r="V1252" s="29"/>
      <c r="W1252" s="29"/>
      <c r="X1252" s="29"/>
      <c r="Y1252" s="29"/>
      <c r="Z1252" s="29"/>
      <c r="AA1252" s="29"/>
      <c r="AB1252" s="29"/>
      <c r="AC1252" s="29"/>
      <c r="AD1252" s="29"/>
      <c r="AE1252" s="29"/>
      <c r="AF1252" s="29"/>
      <c r="AG1252" s="29"/>
      <c r="AH1252" s="29"/>
      <c r="AI1252" s="29"/>
      <c r="AJ1252" s="29"/>
      <c r="AK1252" s="29"/>
    </row>
    <row r="1253" spans="2:37" ht="16.2" x14ac:dyDescent="0.3">
      <c r="B1253" s="80"/>
      <c r="C1253" s="81"/>
      <c r="D1253" s="82"/>
      <c r="E1253" s="83"/>
      <c r="F1253" s="84"/>
      <c r="G1253" s="84"/>
      <c r="H1253" s="83"/>
      <c r="I1253" s="83"/>
      <c r="J1253" s="84"/>
      <c r="K1253" s="84"/>
      <c r="L1253" s="84"/>
      <c r="M1253" s="84"/>
      <c r="N1253" s="85"/>
      <c r="O1253" s="86"/>
      <c r="P1253" s="97"/>
      <c r="Q1253" s="91"/>
      <c r="R1253" s="91"/>
      <c r="S1253" s="75"/>
      <c r="T1253" s="29"/>
      <c r="U1253" s="29"/>
      <c r="V1253" s="29"/>
      <c r="W1253" s="29"/>
      <c r="X1253" s="29"/>
      <c r="Y1253" s="29"/>
      <c r="Z1253" s="29"/>
      <c r="AA1253" s="29"/>
      <c r="AB1253" s="29"/>
      <c r="AC1253" s="29"/>
      <c r="AD1253" s="29"/>
      <c r="AE1253" s="29"/>
      <c r="AF1253" s="29"/>
      <c r="AG1253" s="29"/>
      <c r="AH1253" s="29"/>
      <c r="AI1253" s="29"/>
      <c r="AJ1253" s="29"/>
      <c r="AK1253" s="29"/>
    </row>
    <row r="1254" spans="2:37" ht="16.2" x14ac:dyDescent="0.3">
      <c r="B1254" s="80"/>
      <c r="C1254" s="81"/>
      <c r="D1254" s="82"/>
      <c r="E1254" s="83"/>
      <c r="F1254" s="84"/>
      <c r="G1254" s="84"/>
      <c r="H1254" s="83"/>
      <c r="I1254" s="83"/>
      <c r="J1254" s="84"/>
      <c r="K1254" s="84"/>
      <c r="L1254" s="84"/>
      <c r="M1254" s="84"/>
      <c r="N1254" s="85"/>
      <c r="O1254" s="86"/>
      <c r="P1254" s="97"/>
      <c r="Q1254" s="91"/>
      <c r="R1254" s="91"/>
      <c r="S1254" s="75"/>
      <c r="T1254" s="29"/>
      <c r="U1254" s="29"/>
      <c r="V1254" s="29"/>
      <c r="W1254" s="29"/>
      <c r="X1254" s="29"/>
      <c r="Y1254" s="29"/>
      <c r="Z1254" s="29"/>
      <c r="AA1254" s="29"/>
      <c r="AB1254" s="29"/>
      <c r="AC1254" s="29"/>
      <c r="AD1254" s="29"/>
      <c r="AE1254" s="29"/>
      <c r="AF1254" s="29"/>
      <c r="AG1254" s="29"/>
      <c r="AH1254" s="29"/>
      <c r="AI1254" s="29"/>
      <c r="AJ1254" s="29"/>
      <c r="AK1254" s="29"/>
    </row>
    <row r="1255" spans="2:37" ht="16.2" x14ac:dyDescent="0.3">
      <c r="B1255" s="80"/>
      <c r="C1255" s="81"/>
      <c r="D1255" s="82"/>
      <c r="E1255" s="83"/>
      <c r="F1255" s="84"/>
      <c r="G1255" s="84"/>
      <c r="H1255" s="83"/>
      <c r="I1255" s="83"/>
      <c r="J1255" s="84"/>
      <c r="K1255" s="84"/>
      <c r="L1255" s="84"/>
      <c r="M1255" s="84"/>
      <c r="N1255" s="85"/>
      <c r="O1255" s="86"/>
      <c r="P1255" s="97"/>
      <c r="Q1255" s="91"/>
      <c r="R1255" s="91"/>
      <c r="S1255" s="75"/>
      <c r="T1255" s="29"/>
      <c r="U1255" s="29"/>
      <c r="V1255" s="29"/>
      <c r="W1255" s="29"/>
      <c r="X1255" s="29"/>
      <c r="Y1255" s="29"/>
      <c r="Z1255" s="29"/>
      <c r="AA1255" s="29"/>
      <c r="AB1255" s="29"/>
      <c r="AC1255" s="29"/>
      <c r="AD1255" s="29"/>
      <c r="AE1255" s="29"/>
      <c r="AF1255" s="29"/>
      <c r="AG1255" s="29"/>
      <c r="AH1255" s="29"/>
      <c r="AI1255" s="29"/>
      <c r="AJ1255" s="29"/>
      <c r="AK1255" s="29"/>
    </row>
    <row r="1256" spans="2:37" ht="16.2" x14ac:dyDescent="0.3">
      <c r="B1256" s="80"/>
      <c r="C1256" s="81"/>
      <c r="D1256" s="82"/>
      <c r="E1256" s="83"/>
      <c r="F1256" s="84"/>
      <c r="G1256" s="84"/>
      <c r="H1256" s="83"/>
      <c r="I1256" s="83"/>
      <c r="J1256" s="84"/>
      <c r="K1256" s="84"/>
      <c r="L1256" s="84"/>
      <c r="M1256" s="84"/>
      <c r="N1256" s="85"/>
      <c r="O1256" s="86"/>
      <c r="P1256" s="97"/>
      <c r="Q1256" s="91"/>
      <c r="R1256" s="91"/>
      <c r="S1256" s="75"/>
      <c r="T1256" s="29"/>
      <c r="U1256" s="29"/>
      <c r="V1256" s="29"/>
      <c r="W1256" s="29"/>
      <c r="X1256" s="29"/>
      <c r="Y1256" s="29"/>
      <c r="Z1256" s="29"/>
      <c r="AA1256" s="29"/>
      <c r="AB1256" s="29"/>
      <c r="AC1256" s="29"/>
      <c r="AD1256" s="29"/>
      <c r="AE1256" s="29"/>
      <c r="AF1256" s="29"/>
      <c r="AG1256" s="29"/>
      <c r="AH1256" s="29"/>
      <c r="AI1256" s="29"/>
      <c r="AJ1256" s="29"/>
      <c r="AK1256" s="29"/>
    </row>
    <row r="1257" spans="2:37" ht="16.2" x14ac:dyDescent="0.3">
      <c r="B1257" s="80"/>
      <c r="C1257" s="81"/>
      <c r="D1257" s="82"/>
      <c r="E1257" s="83"/>
      <c r="F1257" s="84"/>
      <c r="G1257" s="84"/>
      <c r="H1257" s="83"/>
      <c r="I1257" s="83"/>
      <c r="J1257" s="84"/>
      <c r="K1257" s="84"/>
      <c r="L1257" s="84"/>
      <c r="M1257" s="84"/>
      <c r="N1257" s="85"/>
      <c r="O1257" s="86"/>
      <c r="P1257" s="97"/>
      <c r="Q1257" s="91"/>
      <c r="R1257" s="91"/>
      <c r="S1257" s="75"/>
      <c r="T1257" s="29"/>
      <c r="U1257" s="29"/>
      <c r="V1257" s="29"/>
      <c r="W1257" s="29"/>
      <c r="X1257" s="29"/>
      <c r="Y1257" s="29"/>
      <c r="Z1257" s="29"/>
      <c r="AA1257" s="29"/>
      <c r="AB1257" s="29"/>
      <c r="AC1257" s="29"/>
      <c r="AD1257" s="29"/>
      <c r="AE1257" s="29"/>
      <c r="AF1257" s="29"/>
      <c r="AG1257" s="29"/>
      <c r="AH1257" s="29"/>
      <c r="AI1257" s="29"/>
      <c r="AJ1257" s="29"/>
      <c r="AK1257" s="29"/>
    </row>
    <row r="1258" spans="2:37" ht="16.2" x14ac:dyDescent="0.3">
      <c r="B1258" s="80"/>
      <c r="C1258" s="81"/>
      <c r="D1258" s="82"/>
      <c r="E1258" s="83"/>
      <c r="F1258" s="84"/>
      <c r="G1258" s="84"/>
      <c r="H1258" s="83"/>
      <c r="I1258" s="83"/>
      <c r="J1258" s="84"/>
      <c r="K1258" s="84"/>
      <c r="L1258" s="84"/>
      <c r="M1258" s="84"/>
      <c r="N1258" s="85"/>
      <c r="O1258" s="86"/>
      <c r="P1258" s="97"/>
      <c r="Q1258" s="91"/>
      <c r="R1258" s="91"/>
      <c r="S1258" s="75"/>
      <c r="T1258" s="29"/>
      <c r="U1258" s="29"/>
      <c r="V1258" s="29"/>
      <c r="W1258" s="29"/>
      <c r="X1258" s="29"/>
      <c r="Y1258" s="29"/>
      <c r="Z1258" s="29"/>
      <c r="AA1258" s="29"/>
      <c r="AB1258" s="29"/>
      <c r="AC1258" s="29"/>
      <c r="AD1258" s="29"/>
      <c r="AE1258" s="29"/>
      <c r="AF1258" s="29"/>
      <c r="AG1258" s="29"/>
      <c r="AH1258" s="29"/>
      <c r="AI1258" s="29"/>
      <c r="AJ1258" s="29"/>
      <c r="AK1258" s="29"/>
    </row>
    <row r="1259" spans="2:37" ht="16.2" x14ac:dyDescent="0.3">
      <c r="B1259" s="80"/>
      <c r="C1259" s="81"/>
      <c r="D1259" s="82"/>
      <c r="E1259" s="83"/>
      <c r="F1259" s="84"/>
      <c r="G1259" s="84"/>
      <c r="H1259" s="83"/>
      <c r="I1259" s="83"/>
      <c r="J1259" s="84"/>
      <c r="K1259" s="84"/>
      <c r="L1259" s="84"/>
      <c r="M1259" s="84"/>
      <c r="N1259" s="85"/>
      <c r="O1259" s="86"/>
      <c r="P1259" s="97"/>
      <c r="Q1259" s="91"/>
      <c r="R1259" s="91"/>
      <c r="S1259" s="75"/>
      <c r="T1259" s="29"/>
      <c r="U1259" s="29"/>
      <c r="V1259" s="29"/>
      <c r="W1259" s="29"/>
      <c r="X1259" s="29"/>
      <c r="Y1259" s="29"/>
      <c r="Z1259" s="29"/>
      <c r="AA1259" s="29"/>
      <c r="AB1259" s="29"/>
      <c r="AC1259" s="29"/>
      <c r="AD1259" s="29"/>
      <c r="AE1259" s="29"/>
      <c r="AF1259" s="29"/>
      <c r="AG1259" s="29"/>
      <c r="AH1259" s="29"/>
      <c r="AI1259" s="29"/>
      <c r="AJ1259" s="29"/>
      <c r="AK1259" s="29"/>
    </row>
    <row r="1260" spans="2:37" ht="16.2" x14ac:dyDescent="0.3">
      <c r="B1260" s="80"/>
      <c r="C1260" s="81"/>
      <c r="D1260" s="82"/>
      <c r="E1260" s="83"/>
      <c r="F1260" s="84"/>
      <c r="G1260" s="84"/>
      <c r="H1260" s="83"/>
      <c r="I1260" s="83"/>
      <c r="J1260" s="84"/>
      <c r="K1260" s="84"/>
      <c r="L1260" s="84"/>
      <c r="M1260" s="84"/>
      <c r="N1260" s="85"/>
      <c r="O1260" s="86"/>
      <c r="P1260" s="97"/>
      <c r="Q1260" s="91"/>
      <c r="R1260" s="91"/>
      <c r="S1260" s="75"/>
      <c r="T1260" s="29"/>
      <c r="U1260" s="29"/>
      <c r="V1260" s="29"/>
      <c r="W1260" s="29"/>
      <c r="X1260" s="29"/>
      <c r="Y1260" s="29"/>
      <c r="Z1260" s="29"/>
      <c r="AA1260" s="29"/>
      <c r="AB1260" s="29"/>
      <c r="AC1260" s="29"/>
      <c r="AD1260" s="29"/>
      <c r="AE1260" s="29"/>
      <c r="AF1260" s="29"/>
      <c r="AG1260" s="29"/>
      <c r="AH1260" s="29"/>
      <c r="AI1260" s="29"/>
      <c r="AJ1260" s="29"/>
      <c r="AK1260" s="29"/>
    </row>
    <row r="1261" spans="2:37" ht="16.2" x14ac:dyDescent="0.3">
      <c r="B1261" s="80"/>
      <c r="C1261" s="81"/>
      <c r="D1261" s="82"/>
      <c r="E1261" s="83"/>
      <c r="F1261" s="84"/>
      <c r="G1261" s="84"/>
      <c r="H1261" s="83"/>
      <c r="I1261" s="83"/>
      <c r="J1261" s="84"/>
      <c r="K1261" s="84"/>
      <c r="L1261" s="84"/>
      <c r="M1261" s="84"/>
      <c r="N1261" s="85"/>
      <c r="O1261" s="86"/>
      <c r="P1261" s="97"/>
      <c r="Q1261" s="91"/>
      <c r="R1261" s="91"/>
      <c r="S1261" s="75"/>
      <c r="T1261" s="29"/>
      <c r="U1261" s="29"/>
      <c r="V1261" s="29"/>
      <c r="W1261" s="29"/>
      <c r="X1261" s="29"/>
      <c r="Y1261" s="29"/>
      <c r="Z1261" s="29"/>
      <c r="AA1261" s="29"/>
      <c r="AB1261" s="29"/>
      <c r="AC1261" s="29"/>
      <c r="AD1261" s="29"/>
      <c r="AE1261" s="29"/>
      <c r="AF1261" s="29"/>
      <c r="AG1261" s="29"/>
      <c r="AH1261" s="29"/>
      <c r="AI1261" s="29"/>
      <c r="AJ1261" s="29"/>
      <c r="AK1261" s="29"/>
    </row>
    <row r="1262" spans="2:37" ht="16.2" x14ac:dyDescent="0.3">
      <c r="B1262" s="80"/>
      <c r="C1262" s="81"/>
      <c r="D1262" s="82"/>
      <c r="E1262" s="83"/>
      <c r="F1262" s="84"/>
      <c r="G1262" s="84"/>
      <c r="H1262" s="83"/>
      <c r="I1262" s="83"/>
      <c r="J1262" s="84"/>
      <c r="K1262" s="84"/>
      <c r="L1262" s="84"/>
      <c r="M1262" s="84"/>
      <c r="N1262" s="85"/>
      <c r="O1262" s="86"/>
      <c r="P1262" s="97"/>
      <c r="Q1262" s="91"/>
      <c r="R1262" s="91"/>
      <c r="S1262" s="75"/>
      <c r="T1262" s="29"/>
      <c r="U1262" s="29"/>
      <c r="V1262" s="29"/>
      <c r="W1262" s="29"/>
      <c r="X1262" s="29"/>
      <c r="Y1262" s="29"/>
      <c r="Z1262" s="29"/>
      <c r="AA1262" s="29"/>
      <c r="AB1262" s="29"/>
      <c r="AC1262" s="29"/>
      <c r="AD1262" s="29"/>
      <c r="AE1262" s="29"/>
      <c r="AF1262" s="29"/>
      <c r="AG1262" s="29"/>
      <c r="AH1262" s="29"/>
      <c r="AI1262" s="29"/>
      <c r="AJ1262" s="29"/>
      <c r="AK1262" s="29"/>
    </row>
    <row r="1263" spans="2:37" ht="16.2" x14ac:dyDescent="0.3">
      <c r="B1263" s="80"/>
      <c r="C1263" s="81"/>
      <c r="D1263" s="82"/>
      <c r="E1263" s="83"/>
      <c r="F1263" s="84"/>
      <c r="G1263" s="84"/>
      <c r="H1263" s="83"/>
      <c r="I1263" s="83"/>
      <c r="J1263" s="84"/>
      <c r="K1263" s="84"/>
      <c r="L1263" s="84"/>
      <c r="M1263" s="84"/>
      <c r="N1263" s="85"/>
      <c r="O1263" s="86"/>
      <c r="P1263" s="97"/>
      <c r="Q1263" s="91"/>
      <c r="R1263" s="91"/>
      <c r="S1263" s="75"/>
      <c r="T1263" s="29"/>
      <c r="U1263" s="29"/>
      <c r="V1263" s="29"/>
      <c r="W1263" s="29"/>
      <c r="X1263" s="29"/>
      <c r="Y1263" s="29"/>
      <c r="Z1263" s="29"/>
      <c r="AA1263" s="29"/>
      <c r="AB1263" s="29"/>
      <c r="AC1263" s="29"/>
      <c r="AD1263" s="29"/>
      <c r="AE1263" s="29"/>
      <c r="AF1263" s="29"/>
      <c r="AG1263" s="29"/>
      <c r="AH1263" s="29"/>
      <c r="AI1263" s="29"/>
      <c r="AJ1263" s="29"/>
      <c r="AK1263" s="29"/>
    </row>
    <row r="1264" spans="2:37" ht="16.2" x14ac:dyDescent="0.3">
      <c r="B1264" s="80"/>
      <c r="C1264" s="81"/>
      <c r="D1264" s="82"/>
      <c r="E1264" s="83"/>
      <c r="F1264" s="84"/>
      <c r="G1264" s="84"/>
      <c r="H1264" s="83"/>
      <c r="I1264" s="83"/>
      <c r="J1264" s="84"/>
      <c r="K1264" s="84"/>
      <c r="L1264" s="84"/>
      <c r="M1264" s="84"/>
      <c r="N1264" s="85"/>
      <c r="O1264" s="86"/>
      <c r="P1264" s="97"/>
      <c r="Q1264" s="91"/>
      <c r="R1264" s="91"/>
      <c r="S1264" s="75"/>
      <c r="T1264" s="29"/>
      <c r="U1264" s="29"/>
      <c r="V1264" s="29"/>
      <c r="W1264" s="29"/>
      <c r="X1264" s="29"/>
      <c r="Y1264" s="29"/>
      <c r="Z1264" s="29"/>
      <c r="AA1264" s="29"/>
      <c r="AB1264" s="29"/>
      <c r="AC1264" s="29"/>
      <c r="AD1264" s="29"/>
      <c r="AE1264" s="29"/>
      <c r="AF1264" s="29"/>
      <c r="AG1264" s="29"/>
      <c r="AH1264" s="29"/>
      <c r="AI1264" s="29"/>
      <c r="AJ1264" s="29"/>
      <c r="AK1264" s="29"/>
    </row>
    <row r="1265" spans="2:37" ht="16.2" x14ac:dyDescent="0.3">
      <c r="B1265" s="80"/>
      <c r="C1265" s="81"/>
      <c r="D1265" s="82"/>
      <c r="E1265" s="83"/>
      <c r="F1265" s="84"/>
      <c r="G1265" s="84"/>
      <c r="H1265" s="83"/>
      <c r="I1265" s="83"/>
      <c r="J1265" s="84"/>
      <c r="K1265" s="84"/>
      <c r="L1265" s="84"/>
      <c r="M1265" s="84"/>
      <c r="N1265" s="85"/>
      <c r="O1265" s="86"/>
      <c r="P1265" s="97"/>
      <c r="Q1265" s="91"/>
      <c r="R1265" s="91"/>
      <c r="S1265" s="75"/>
      <c r="T1265" s="29"/>
      <c r="U1265" s="29"/>
      <c r="V1265" s="29"/>
      <c r="W1265" s="29"/>
      <c r="X1265" s="29"/>
      <c r="Y1265" s="29"/>
      <c r="Z1265" s="29"/>
      <c r="AA1265" s="29"/>
      <c r="AB1265" s="29"/>
      <c r="AC1265" s="29"/>
      <c r="AD1265" s="29"/>
      <c r="AE1265" s="29"/>
      <c r="AF1265" s="29"/>
      <c r="AG1265" s="29"/>
      <c r="AH1265" s="29"/>
      <c r="AI1265" s="29"/>
      <c r="AJ1265" s="29"/>
      <c r="AK1265" s="29"/>
    </row>
    <row r="1266" spans="2:37" ht="16.2" x14ac:dyDescent="0.3">
      <c r="B1266" s="80"/>
      <c r="C1266" s="81"/>
      <c r="D1266" s="82"/>
      <c r="E1266" s="83"/>
      <c r="F1266" s="84"/>
      <c r="G1266" s="84"/>
      <c r="H1266" s="83"/>
      <c r="I1266" s="83"/>
      <c r="J1266" s="84"/>
      <c r="K1266" s="84"/>
      <c r="L1266" s="84"/>
      <c r="M1266" s="84"/>
      <c r="N1266" s="85"/>
      <c r="O1266" s="86"/>
      <c r="P1266" s="97"/>
      <c r="Q1266" s="91"/>
      <c r="R1266" s="91"/>
      <c r="S1266" s="75"/>
      <c r="T1266" s="29"/>
      <c r="U1266" s="29"/>
      <c r="V1266" s="29"/>
      <c r="W1266" s="29"/>
      <c r="X1266" s="29"/>
      <c r="Y1266" s="29"/>
      <c r="Z1266" s="29"/>
      <c r="AA1266" s="29"/>
      <c r="AB1266" s="29"/>
      <c r="AC1266" s="29"/>
      <c r="AD1266" s="29"/>
      <c r="AE1266" s="29"/>
      <c r="AF1266" s="29"/>
      <c r="AG1266" s="29"/>
      <c r="AH1266" s="29"/>
      <c r="AI1266" s="29"/>
      <c r="AJ1266" s="29"/>
      <c r="AK1266" s="29"/>
    </row>
    <row r="1267" spans="2:37" ht="16.2" x14ac:dyDescent="0.3">
      <c r="B1267" s="80"/>
      <c r="C1267" s="81"/>
      <c r="D1267" s="82"/>
      <c r="E1267" s="83"/>
      <c r="F1267" s="84"/>
      <c r="G1267" s="84"/>
      <c r="H1267" s="83"/>
      <c r="I1267" s="83"/>
      <c r="J1267" s="84"/>
      <c r="K1267" s="84"/>
      <c r="L1267" s="84"/>
      <c r="M1267" s="84"/>
      <c r="N1267" s="85"/>
      <c r="O1267" s="86"/>
      <c r="P1267" s="97"/>
      <c r="Q1267" s="91"/>
      <c r="R1267" s="91"/>
      <c r="S1267" s="75"/>
      <c r="T1267" s="29"/>
      <c r="U1267" s="29"/>
      <c r="V1267" s="29"/>
      <c r="W1267" s="29"/>
      <c r="X1267" s="29"/>
      <c r="Y1267" s="29"/>
      <c r="Z1267" s="29"/>
      <c r="AA1267" s="29"/>
      <c r="AB1267" s="29"/>
      <c r="AC1267" s="29"/>
      <c r="AD1267" s="29"/>
      <c r="AE1267" s="29"/>
      <c r="AF1267" s="29"/>
      <c r="AG1267" s="29"/>
      <c r="AH1267" s="29"/>
      <c r="AI1267" s="29"/>
      <c r="AJ1267" s="29"/>
      <c r="AK1267" s="29"/>
    </row>
    <row r="1268" spans="2:37" ht="16.2" x14ac:dyDescent="0.3">
      <c r="B1268" s="80"/>
      <c r="C1268" s="81"/>
      <c r="D1268" s="82"/>
      <c r="E1268" s="83"/>
      <c r="F1268" s="84"/>
      <c r="G1268" s="84"/>
      <c r="H1268" s="83"/>
      <c r="I1268" s="83"/>
      <c r="J1268" s="84"/>
      <c r="K1268" s="84"/>
      <c r="L1268" s="84"/>
      <c r="M1268" s="84"/>
      <c r="N1268" s="85"/>
      <c r="O1268" s="86"/>
      <c r="P1268" s="97"/>
      <c r="Q1268" s="91"/>
      <c r="R1268" s="91"/>
      <c r="S1268" s="75"/>
      <c r="T1268" s="29"/>
      <c r="U1268" s="29"/>
      <c r="V1268" s="29"/>
      <c r="W1268" s="29"/>
      <c r="X1268" s="29"/>
      <c r="Y1268" s="29"/>
      <c r="Z1268" s="29"/>
      <c r="AA1268" s="29"/>
      <c r="AB1268" s="29"/>
      <c r="AC1268" s="29"/>
      <c r="AD1268" s="29"/>
      <c r="AE1268" s="29"/>
      <c r="AF1268" s="29"/>
      <c r="AG1268" s="29"/>
      <c r="AH1268" s="29"/>
      <c r="AI1268" s="29"/>
      <c r="AJ1268" s="29"/>
      <c r="AK1268" s="29"/>
    </row>
    <row r="1269" spans="2:37" ht="16.2" x14ac:dyDescent="0.3">
      <c r="B1269" s="80"/>
      <c r="C1269" s="81"/>
      <c r="D1269" s="82"/>
      <c r="E1269" s="83"/>
      <c r="F1269" s="84"/>
      <c r="G1269" s="84"/>
      <c r="H1269" s="83"/>
      <c r="I1269" s="83"/>
      <c r="J1269" s="84"/>
      <c r="K1269" s="84"/>
      <c r="L1269" s="84"/>
      <c r="M1269" s="84"/>
      <c r="N1269" s="85"/>
      <c r="O1269" s="86"/>
      <c r="P1269" s="97"/>
      <c r="Q1269" s="91"/>
      <c r="R1269" s="91"/>
      <c r="S1269" s="75"/>
      <c r="T1269" s="29"/>
      <c r="U1269" s="29"/>
      <c r="V1269" s="29"/>
      <c r="W1269" s="29"/>
      <c r="X1269" s="29"/>
      <c r="Y1269" s="29"/>
      <c r="Z1269" s="29"/>
      <c r="AA1269" s="29"/>
      <c r="AB1269" s="29"/>
      <c r="AC1269" s="29"/>
      <c r="AD1269" s="29"/>
      <c r="AE1269" s="29"/>
      <c r="AF1269" s="29"/>
      <c r="AG1269" s="29"/>
      <c r="AH1269" s="29"/>
      <c r="AI1269" s="29"/>
      <c r="AJ1269" s="29"/>
      <c r="AK1269" s="29"/>
    </row>
    <row r="1270" spans="2:37" ht="16.2" x14ac:dyDescent="0.3">
      <c r="B1270" s="80"/>
      <c r="C1270" s="81"/>
      <c r="D1270" s="82"/>
      <c r="E1270" s="83"/>
      <c r="F1270" s="84"/>
      <c r="G1270" s="84"/>
      <c r="H1270" s="83"/>
      <c r="I1270" s="83"/>
      <c r="J1270" s="84"/>
      <c r="K1270" s="84"/>
      <c r="L1270" s="84"/>
      <c r="M1270" s="84"/>
      <c r="N1270" s="85"/>
      <c r="O1270" s="86"/>
      <c r="P1270" s="97"/>
      <c r="Q1270" s="91"/>
      <c r="R1270" s="91"/>
      <c r="S1270" s="75"/>
      <c r="T1270" s="29"/>
      <c r="U1270" s="29"/>
      <c r="V1270" s="29"/>
      <c r="W1270" s="29"/>
      <c r="X1270" s="29"/>
      <c r="Y1270" s="29"/>
      <c r="Z1270" s="29"/>
      <c r="AA1270" s="29"/>
      <c r="AB1270" s="29"/>
      <c r="AC1270" s="29"/>
      <c r="AD1270" s="29"/>
      <c r="AE1270" s="29"/>
      <c r="AF1270" s="29"/>
      <c r="AG1270" s="29"/>
      <c r="AH1270" s="29"/>
      <c r="AI1270" s="29"/>
      <c r="AJ1270" s="29"/>
      <c r="AK1270" s="29"/>
    </row>
    <row r="1271" spans="2:37" ht="16.2" x14ac:dyDescent="0.3">
      <c r="B1271" s="80"/>
      <c r="C1271" s="81"/>
      <c r="D1271" s="82"/>
      <c r="E1271" s="83"/>
      <c r="F1271" s="84"/>
      <c r="G1271" s="84"/>
      <c r="H1271" s="83"/>
      <c r="I1271" s="83"/>
      <c r="J1271" s="84"/>
      <c r="K1271" s="84"/>
      <c r="L1271" s="84"/>
      <c r="M1271" s="84"/>
      <c r="N1271" s="85"/>
      <c r="O1271" s="86"/>
      <c r="P1271" s="97"/>
      <c r="Q1271" s="91"/>
      <c r="R1271" s="91"/>
      <c r="S1271" s="75"/>
      <c r="T1271" s="29"/>
      <c r="U1271" s="29"/>
      <c r="V1271" s="29"/>
      <c r="W1271" s="29"/>
      <c r="X1271" s="29"/>
      <c r="Y1271" s="29"/>
      <c r="Z1271" s="29"/>
      <c r="AA1271" s="29"/>
      <c r="AB1271" s="29"/>
      <c r="AC1271" s="29"/>
      <c r="AD1271" s="29"/>
      <c r="AE1271" s="29"/>
      <c r="AF1271" s="29"/>
      <c r="AG1271" s="29"/>
      <c r="AH1271" s="29"/>
      <c r="AI1271" s="29"/>
      <c r="AJ1271" s="29"/>
      <c r="AK1271" s="29"/>
    </row>
    <row r="1272" spans="2:37" ht="16.2" x14ac:dyDescent="0.3">
      <c r="B1272" s="80"/>
      <c r="C1272" s="81"/>
      <c r="D1272" s="82"/>
      <c r="E1272" s="83"/>
      <c r="F1272" s="84"/>
      <c r="G1272" s="84"/>
      <c r="H1272" s="83"/>
      <c r="I1272" s="83"/>
      <c r="J1272" s="84"/>
      <c r="K1272" s="84"/>
      <c r="L1272" s="84"/>
      <c r="M1272" s="84"/>
      <c r="N1272" s="85"/>
      <c r="O1272" s="86"/>
      <c r="P1272" s="97"/>
      <c r="Q1272" s="91"/>
      <c r="R1272" s="91"/>
      <c r="S1272" s="75"/>
      <c r="T1272" s="29"/>
      <c r="U1272" s="29"/>
      <c r="V1272" s="29"/>
      <c r="W1272" s="29"/>
      <c r="X1272" s="29"/>
      <c r="Y1272" s="29"/>
      <c r="Z1272" s="29"/>
      <c r="AA1272" s="29"/>
      <c r="AB1272" s="29"/>
      <c r="AC1272" s="29"/>
      <c r="AD1272" s="29"/>
      <c r="AE1272" s="29"/>
      <c r="AF1272" s="29"/>
      <c r="AG1272" s="29"/>
      <c r="AH1272" s="29"/>
      <c r="AI1272" s="29"/>
      <c r="AJ1272" s="29"/>
      <c r="AK1272" s="29"/>
    </row>
    <row r="1273" spans="2:37" ht="16.2" x14ac:dyDescent="0.3">
      <c r="B1273" s="80"/>
      <c r="C1273" s="81"/>
      <c r="D1273" s="82"/>
      <c r="E1273" s="83"/>
      <c r="F1273" s="84"/>
      <c r="G1273" s="84"/>
      <c r="H1273" s="83"/>
      <c r="I1273" s="83"/>
      <c r="J1273" s="84"/>
      <c r="K1273" s="84"/>
      <c r="L1273" s="84"/>
      <c r="M1273" s="84"/>
      <c r="N1273" s="85"/>
      <c r="O1273" s="86"/>
      <c r="P1273" s="97"/>
      <c r="Q1273" s="91"/>
      <c r="R1273" s="91"/>
      <c r="S1273" s="75"/>
      <c r="T1273" s="29"/>
      <c r="U1273" s="29"/>
      <c r="V1273" s="29"/>
      <c r="W1273" s="29"/>
      <c r="X1273" s="29"/>
      <c r="Y1273" s="29"/>
      <c r="Z1273" s="29"/>
      <c r="AA1273" s="29"/>
      <c r="AB1273" s="29"/>
      <c r="AC1273" s="29"/>
      <c r="AD1273" s="29"/>
      <c r="AE1273" s="29"/>
      <c r="AF1273" s="29"/>
      <c r="AG1273" s="29"/>
      <c r="AH1273" s="29"/>
      <c r="AI1273" s="29"/>
      <c r="AJ1273" s="29"/>
      <c r="AK1273" s="29"/>
    </row>
    <row r="1274" spans="2:37" ht="16.2" x14ac:dyDescent="0.3">
      <c r="B1274" s="80"/>
      <c r="C1274" s="81"/>
      <c r="D1274" s="82"/>
      <c r="E1274" s="83"/>
      <c r="F1274" s="84"/>
      <c r="G1274" s="84"/>
      <c r="H1274" s="83"/>
      <c r="I1274" s="83"/>
      <c r="J1274" s="84"/>
      <c r="K1274" s="84"/>
      <c r="L1274" s="84"/>
      <c r="M1274" s="84"/>
      <c r="N1274" s="85"/>
      <c r="O1274" s="86"/>
      <c r="P1274" s="97"/>
      <c r="Q1274" s="91"/>
      <c r="R1274" s="91"/>
      <c r="S1274" s="75"/>
      <c r="T1274" s="29"/>
      <c r="U1274" s="29"/>
      <c r="V1274" s="29"/>
      <c r="W1274" s="29"/>
      <c r="X1274" s="29"/>
      <c r="Y1274" s="29"/>
      <c r="Z1274" s="29"/>
      <c r="AA1274" s="29"/>
      <c r="AB1274" s="29"/>
      <c r="AC1274" s="29"/>
      <c r="AD1274" s="29"/>
      <c r="AE1274" s="29"/>
      <c r="AF1274" s="29"/>
      <c r="AG1274" s="29"/>
      <c r="AH1274" s="29"/>
      <c r="AI1274" s="29"/>
      <c r="AJ1274" s="29"/>
      <c r="AK1274" s="29"/>
    </row>
    <row r="1275" spans="2:37" ht="16.2" x14ac:dyDescent="0.3">
      <c r="B1275" s="80"/>
      <c r="C1275" s="81"/>
      <c r="D1275" s="82"/>
      <c r="E1275" s="83"/>
      <c r="F1275" s="84"/>
      <c r="G1275" s="84"/>
      <c r="H1275" s="83"/>
      <c r="I1275" s="83"/>
      <c r="J1275" s="84"/>
      <c r="K1275" s="84"/>
      <c r="L1275" s="84"/>
      <c r="M1275" s="84"/>
      <c r="N1275" s="85"/>
      <c r="O1275" s="86"/>
      <c r="P1275" s="97"/>
      <c r="Q1275" s="91"/>
      <c r="R1275" s="91"/>
      <c r="S1275" s="75"/>
      <c r="T1275" s="29"/>
      <c r="U1275" s="29"/>
      <c r="V1275" s="29"/>
      <c r="W1275" s="29"/>
      <c r="X1275" s="29"/>
      <c r="Y1275" s="29"/>
      <c r="Z1275" s="29"/>
      <c r="AA1275" s="29"/>
      <c r="AB1275" s="29"/>
      <c r="AC1275" s="29"/>
      <c r="AD1275" s="29"/>
      <c r="AE1275" s="29"/>
      <c r="AF1275" s="29"/>
      <c r="AG1275" s="29"/>
      <c r="AH1275" s="29"/>
      <c r="AI1275" s="29"/>
      <c r="AJ1275" s="29"/>
      <c r="AK1275" s="29"/>
    </row>
    <row r="1276" spans="2:37" ht="16.2" x14ac:dyDescent="0.3">
      <c r="B1276" s="80"/>
      <c r="C1276" s="81"/>
      <c r="D1276" s="82"/>
      <c r="E1276" s="83"/>
      <c r="F1276" s="84"/>
      <c r="G1276" s="84"/>
      <c r="H1276" s="83"/>
      <c r="I1276" s="83"/>
      <c r="J1276" s="84"/>
      <c r="K1276" s="84"/>
      <c r="L1276" s="84"/>
      <c r="M1276" s="84"/>
      <c r="N1276" s="85"/>
      <c r="O1276" s="86"/>
      <c r="P1276" s="97"/>
      <c r="Q1276" s="91"/>
      <c r="R1276" s="91"/>
      <c r="S1276" s="75"/>
      <c r="T1276" s="29"/>
      <c r="U1276" s="29"/>
      <c r="V1276" s="29"/>
      <c r="W1276" s="29"/>
      <c r="X1276" s="29"/>
      <c r="Y1276" s="29"/>
      <c r="Z1276" s="29"/>
      <c r="AA1276" s="29"/>
      <c r="AB1276" s="29"/>
      <c r="AC1276" s="29"/>
      <c r="AD1276" s="29"/>
      <c r="AE1276" s="29"/>
      <c r="AF1276" s="29"/>
      <c r="AG1276" s="29"/>
      <c r="AH1276" s="29"/>
      <c r="AI1276" s="29"/>
      <c r="AJ1276" s="29"/>
      <c r="AK1276" s="29"/>
    </row>
    <row r="1277" spans="2:37" ht="16.2" x14ac:dyDescent="0.3">
      <c r="B1277" s="80"/>
      <c r="C1277" s="81"/>
      <c r="D1277" s="82"/>
      <c r="E1277" s="83"/>
      <c r="F1277" s="84"/>
      <c r="G1277" s="84"/>
      <c r="H1277" s="83"/>
      <c r="I1277" s="83"/>
      <c r="J1277" s="84"/>
      <c r="K1277" s="84"/>
      <c r="L1277" s="84"/>
      <c r="M1277" s="84"/>
      <c r="N1277" s="85"/>
      <c r="O1277" s="86"/>
      <c r="P1277" s="97"/>
      <c r="Q1277" s="91"/>
      <c r="R1277" s="91"/>
      <c r="S1277" s="75"/>
      <c r="T1277" s="29"/>
      <c r="U1277" s="29"/>
      <c r="V1277" s="29"/>
      <c r="W1277" s="29"/>
      <c r="X1277" s="29"/>
      <c r="Y1277" s="29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</row>
    <row r="1278" spans="2:37" ht="16.2" x14ac:dyDescent="0.3">
      <c r="B1278" s="80"/>
      <c r="C1278" s="81"/>
      <c r="D1278" s="82"/>
      <c r="E1278" s="83"/>
      <c r="F1278" s="84"/>
      <c r="G1278" s="84"/>
      <c r="H1278" s="83"/>
      <c r="I1278" s="83"/>
      <c r="J1278" s="84"/>
      <c r="K1278" s="84"/>
      <c r="L1278" s="84"/>
      <c r="M1278" s="84"/>
      <c r="N1278" s="85"/>
      <c r="O1278" s="86"/>
      <c r="P1278" s="97"/>
      <c r="Q1278" s="91"/>
      <c r="R1278" s="91"/>
      <c r="S1278" s="75"/>
      <c r="T1278" s="29"/>
      <c r="U1278" s="29"/>
      <c r="V1278" s="29"/>
      <c r="W1278" s="29"/>
      <c r="X1278" s="29"/>
      <c r="Y1278" s="29"/>
      <c r="Z1278" s="29"/>
      <c r="AA1278" s="29"/>
      <c r="AB1278" s="29"/>
      <c r="AC1278" s="29"/>
      <c r="AD1278" s="29"/>
      <c r="AE1278" s="29"/>
      <c r="AF1278" s="29"/>
      <c r="AG1278" s="29"/>
      <c r="AH1278" s="29"/>
      <c r="AI1278" s="29"/>
      <c r="AJ1278" s="29"/>
      <c r="AK1278" s="29"/>
    </row>
    <row r="1279" spans="2:37" ht="16.2" x14ac:dyDescent="0.3">
      <c r="B1279" s="80"/>
      <c r="C1279" s="81"/>
      <c r="D1279" s="82"/>
      <c r="E1279" s="83"/>
      <c r="F1279" s="84"/>
      <c r="G1279" s="84"/>
      <c r="H1279" s="83"/>
      <c r="I1279" s="83"/>
      <c r="J1279" s="84"/>
      <c r="K1279" s="84"/>
      <c r="L1279" s="84"/>
      <c r="M1279" s="84"/>
      <c r="N1279" s="85"/>
      <c r="O1279" s="86"/>
      <c r="P1279" s="97"/>
      <c r="Q1279" s="91"/>
      <c r="R1279" s="91"/>
      <c r="S1279" s="75"/>
      <c r="T1279" s="29"/>
      <c r="U1279" s="29"/>
      <c r="V1279" s="29"/>
      <c r="W1279" s="29"/>
      <c r="X1279" s="29"/>
      <c r="Y1279" s="29"/>
      <c r="Z1279" s="29"/>
      <c r="AA1279" s="29"/>
      <c r="AB1279" s="29"/>
      <c r="AC1279" s="29"/>
      <c r="AD1279" s="29"/>
      <c r="AE1279" s="29"/>
      <c r="AF1279" s="29"/>
      <c r="AG1279" s="29"/>
      <c r="AH1279" s="29"/>
      <c r="AI1279" s="29"/>
      <c r="AJ1279" s="29"/>
      <c r="AK1279" s="29"/>
    </row>
    <row r="1280" spans="2:37" ht="16.2" x14ac:dyDescent="0.3">
      <c r="B1280" s="80"/>
      <c r="C1280" s="81"/>
      <c r="D1280" s="82"/>
      <c r="E1280" s="83"/>
      <c r="F1280" s="84"/>
      <c r="G1280" s="84"/>
      <c r="H1280" s="83"/>
      <c r="I1280" s="83"/>
      <c r="J1280" s="84"/>
      <c r="K1280" s="84"/>
      <c r="L1280" s="84"/>
      <c r="M1280" s="84"/>
      <c r="N1280" s="85"/>
      <c r="O1280" s="86"/>
      <c r="P1280" s="97"/>
      <c r="Q1280" s="91"/>
      <c r="R1280" s="91"/>
      <c r="S1280" s="75"/>
      <c r="T1280" s="29"/>
      <c r="U1280" s="29"/>
      <c r="V1280" s="29"/>
      <c r="W1280" s="29"/>
      <c r="X1280" s="29"/>
      <c r="Y1280" s="29"/>
      <c r="Z1280" s="29"/>
      <c r="AA1280" s="29"/>
      <c r="AB1280" s="29"/>
      <c r="AC1280" s="29"/>
      <c r="AD1280" s="29"/>
      <c r="AE1280" s="29"/>
      <c r="AF1280" s="29"/>
      <c r="AG1280" s="29"/>
      <c r="AH1280" s="29"/>
      <c r="AI1280" s="29"/>
      <c r="AJ1280" s="29"/>
      <c r="AK1280" s="29"/>
    </row>
    <row r="1281" spans="2:37" ht="16.2" x14ac:dyDescent="0.3">
      <c r="B1281" s="80"/>
      <c r="C1281" s="81"/>
      <c r="D1281" s="82"/>
      <c r="E1281" s="83"/>
      <c r="F1281" s="84"/>
      <c r="G1281" s="84"/>
      <c r="H1281" s="83"/>
      <c r="I1281" s="83"/>
      <c r="J1281" s="84"/>
      <c r="K1281" s="84"/>
      <c r="L1281" s="84"/>
      <c r="M1281" s="84"/>
      <c r="N1281" s="85"/>
      <c r="O1281" s="86"/>
      <c r="P1281" s="97"/>
      <c r="Q1281" s="91"/>
      <c r="R1281" s="91"/>
      <c r="S1281" s="75"/>
      <c r="T1281" s="29"/>
      <c r="U1281" s="29"/>
      <c r="V1281" s="29"/>
      <c r="W1281" s="29"/>
      <c r="X1281" s="29"/>
      <c r="Y1281" s="29"/>
      <c r="Z1281" s="29"/>
      <c r="AA1281" s="29"/>
      <c r="AB1281" s="29"/>
      <c r="AC1281" s="29"/>
      <c r="AD1281" s="29"/>
      <c r="AE1281" s="29"/>
      <c r="AF1281" s="29"/>
      <c r="AG1281" s="29"/>
      <c r="AH1281" s="29"/>
      <c r="AI1281" s="29"/>
      <c r="AJ1281" s="29"/>
      <c r="AK1281" s="29"/>
    </row>
    <row r="1282" spans="2:37" ht="16.2" x14ac:dyDescent="0.3">
      <c r="B1282" s="80"/>
      <c r="C1282" s="81"/>
      <c r="D1282" s="82"/>
      <c r="E1282" s="83"/>
      <c r="F1282" s="84"/>
      <c r="G1282" s="84"/>
      <c r="H1282" s="83"/>
      <c r="I1282" s="83"/>
      <c r="J1282" s="84"/>
      <c r="K1282" s="84"/>
      <c r="L1282" s="84"/>
      <c r="M1282" s="84"/>
      <c r="N1282" s="85"/>
      <c r="O1282" s="86"/>
      <c r="P1282" s="97"/>
      <c r="Q1282" s="91"/>
      <c r="R1282" s="91"/>
      <c r="S1282" s="75"/>
      <c r="T1282" s="29"/>
      <c r="U1282" s="29"/>
      <c r="V1282" s="29"/>
      <c r="W1282" s="29"/>
      <c r="X1282" s="29"/>
      <c r="Y1282" s="29"/>
      <c r="Z1282" s="29"/>
      <c r="AA1282" s="29"/>
      <c r="AB1282" s="29"/>
      <c r="AC1282" s="29"/>
      <c r="AD1282" s="29"/>
      <c r="AE1282" s="29"/>
      <c r="AF1282" s="29"/>
      <c r="AG1282" s="29"/>
      <c r="AH1282" s="29"/>
      <c r="AI1282" s="29"/>
      <c r="AJ1282" s="29"/>
      <c r="AK1282" s="29"/>
    </row>
    <row r="1283" spans="2:37" ht="16.2" x14ac:dyDescent="0.3">
      <c r="B1283" s="80"/>
      <c r="C1283" s="81"/>
      <c r="D1283" s="82"/>
      <c r="E1283" s="83"/>
      <c r="F1283" s="84"/>
      <c r="G1283" s="84"/>
      <c r="H1283" s="83"/>
      <c r="I1283" s="83"/>
      <c r="J1283" s="84"/>
      <c r="K1283" s="84"/>
      <c r="L1283" s="84"/>
      <c r="M1283" s="84"/>
      <c r="N1283" s="85"/>
      <c r="O1283" s="86"/>
      <c r="P1283" s="97"/>
      <c r="Q1283" s="91"/>
      <c r="R1283" s="91"/>
      <c r="S1283" s="75"/>
      <c r="T1283" s="29"/>
      <c r="U1283" s="29"/>
      <c r="V1283" s="29"/>
      <c r="W1283" s="29"/>
      <c r="X1283" s="29"/>
      <c r="Y1283" s="29"/>
      <c r="Z1283" s="29"/>
      <c r="AA1283" s="29"/>
      <c r="AB1283" s="29"/>
      <c r="AC1283" s="29"/>
      <c r="AD1283" s="29"/>
      <c r="AE1283" s="29"/>
      <c r="AF1283" s="29"/>
      <c r="AG1283" s="29"/>
      <c r="AH1283" s="29"/>
      <c r="AI1283" s="29"/>
      <c r="AJ1283" s="29"/>
      <c r="AK1283" s="29"/>
    </row>
    <row r="1284" spans="2:37" ht="16.2" x14ac:dyDescent="0.3">
      <c r="B1284" s="80"/>
      <c r="C1284" s="81"/>
      <c r="D1284" s="82"/>
      <c r="E1284" s="83"/>
      <c r="F1284" s="84"/>
      <c r="G1284" s="84"/>
      <c r="H1284" s="83"/>
      <c r="I1284" s="83"/>
      <c r="J1284" s="84"/>
      <c r="K1284" s="84"/>
      <c r="L1284" s="84"/>
      <c r="M1284" s="84"/>
      <c r="N1284" s="85"/>
      <c r="O1284" s="86"/>
      <c r="P1284" s="97"/>
      <c r="Q1284" s="91"/>
      <c r="R1284" s="91"/>
      <c r="S1284" s="75"/>
      <c r="T1284" s="29"/>
      <c r="U1284" s="29"/>
      <c r="V1284" s="29"/>
      <c r="W1284" s="29"/>
      <c r="X1284" s="29"/>
      <c r="Y1284" s="29"/>
      <c r="Z1284" s="29"/>
      <c r="AA1284" s="29"/>
      <c r="AB1284" s="29"/>
      <c r="AC1284" s="29"/>
      <c r="AD1284" s="29"/>
      <c r="AE1284" s="29"/>
      <c r="AF1284" s="29"/>
      <c r="AG1284" s="29"/>
      <c r="AH1284" s="29"/>
      <c r="AI1284" s="29"/>
      <c r="AJ1284" s="29"/>
      <c r="AK1284" s="29"/>
    </row>
    <row r="1285" spans="2:37" ht="16.2" x14ac:dyDescent="0.3">
      <c r="B1285" s="80"/>
      <c r="C1285" s="81"/>
      <c r="D1285" s="82"/>
      <c r="E1285" s="83"/>
      <c r="F1285" s="84"/>
      <c r="G1285" s="84"/>
      <c r="H1285" s="83"/>
      <c r="I1285" s="83"/>
      <c r="J1285" s="84"/>
      <c r="K1285" s="84"/>
      <c r="L1285" s="84"/>
      <c r="M1285" s="84"/>
      <c r="N1285" s="85"/>
      <c r="O1285" s="86"/>
      <c r="P1285" s="97"/>
      <c r="Q1285" s="91"/>
      <c r="R1285" s="91"/>
      <c r="S1285" s="75"/>
      <c r="T1285" s="29"/>
      <c r="U1285" s="29"/>
      <c r="V1285" s="29"/>
      <c r="W1285" s="29"/>
      <c r="X1285" s="29"/>
      <c r="Y1285" s="29"/>
      <c r="Z1285" s="29"/>
      <c r="AA1285" s="29"/>
      <c r="AB1285" s="29"/>
      <c r="AC1285" s="29"/>
      <c r="AD1285" s="29"/>
      <c r="AE1285" s="29"/>
      <c r="AF1285" s="29"/>
      <c r="AG1285" s="29"/>
      <c r="AH1285" s="29"/>
      <c r="AI1285" s="29"/>
      <c r="AJ1285" s="29"/>
      <c r="AK1285" s="29"/>
    </row>
    <row r="1286" spans="2:37" ht="16.2" x14ac:dyDescent="0.3">
      <c r="B1286" s="80"/>
      <c r="C1286" s="81"/>
      <c r="D1286" s="82"/>
      <c r="E1286" s="83"/>
      <c r="F1286" s="84"/>
      <c r="G1286" s="84"/>
      <c r="H1286" s="83"/>
      <c r="I1286" s="83"/>
      <c r="J1286" s="84"/>
      <c r="K1286" s="84"/>
      <c r="L1286" s="84"/>
      <c r="M1286" s="84"/>
      <c r="N1286" s="85"/>
      <c r="O1286" s="86"/>
      <c r="P1286" s="97"/>
      <c r="Q1286" s="91"/>
      <c r="R1286" s="91"/>
      <c r="S1286" s="75"/>
      <c r="T1286" s="29"/>
      <c r="U1286" s="29"/>
      <c r="V1286" s="29"/>
      <c r="W1286" s="29"/>
      <c r="X1286" s="29"/>
      <c r="Y1286" s="29"/>
      <c r="Z1286" s="29"/>
      <c r="AA1286" s="29"/>
      <c r="AB1286" s="29"/>
      <c r="AC1286" s="29"/>
      <c r="AD1286" s="29"/>
      <c r="AE1286" s="29"/>
      <c r="AF1286" s="29"/>
      <c r="AG1286" s="29"/>
      <c r="AH1286" s="29"/>
      <c r="AI1286" s="29"/>
      <c r="AJ1286" s="29"/>
      <c r="AK1286" s="29"/>
    </row>
    <row r="1287" spans="2:37" ht="16.2" x14ac:dyDescent="0.3">
      <c r="B1287" s="80"/>
      <c r="C1287" s="81"/>
      <c r="D1287" s="82"/>
      <c r="E1287" s="83"/>
      <c r="F1287" s="84"/>
      <c r="G1287" s="84"/>
      <c r="H1287" s="83"/>
      <c r="I1287" s="83"/>
      <c r="J1287" s="84"/>
      <c r="K1287" s="84"/>
      <c r="L1287" s="84"/>
      <c r="M1287" s="84"/>
      <c r="N1287" s="85"/>
      <c r="O1287" s="86"/>
      <c r="P1287" s="97"/>
      <c r="Q1287" s="91"/>
      <c r="R1287" s="91"/>
      <c r="S1287" s="75"/>
      <c r="T1287" s="29"/>
      <c r="U1287" s="29"/>
      <c r="V1287" s="29"/>
      <c r="W1287" s="29"/>
      <c r="X1287" s="29"/>
      <c r="Y1287" s="29"/>
      <c r="Z1287" s="29"/>
      <c r="AA1287" s="29"/>
      <c r="AB1287" s="29"/>
      <c r="AC1287" s="29"/>
      <c r="AD1287" s="29"/>
      <c r="AE1287" s="29"/>
      <c r="AF1287" s="29"/>
      <c r="AG1287" s="29"/>
      <c r="AH1287" s="29"/>
      <c r="AI1287" s="29"/>
      <c r="AJ1287" s="29"/>
      <c r="AK1287" s="29"/>
    </row>
    <row r="1288" spans="2:37" ht="16.2" x14ac:dyDescent="0.3">
      <c r="B1288" s="80"/>
      <c r="C1288" s="81"/>
      <c r="D1288" s="82"/>
      <c r="E1288" s="83"/>
      <c r="F1288" s="84"/>
      <c r="G1288" s="84"/>
      <c r="H1288" s="83"/>
      <c r="I1288" s="83"/>
      <c r="J1288" s="84"/>
      <c r="K1288" s="84"/>
      <c r="L1288" s="84"/>
      <c r="M1288" s="84"/>
      <c r="N1288" s="85"/>
      <c r="O1288" s="86"/>
      <c r="P1288" s="97"/>
      <c r="Q1288" s="91"/>
      <c r="R1288" s="91"/>
      <c r="S1288" s="75"/>
      <c r="T1288" s="29"/>
      <c r="U1288" s="29"/>
      <c r="V1288" s="29"/>
      <c r="W1288" s="29"/>
      <c r="X1288" s="29"/>
      <c r="Y1288" s="29"/>
      <c r="Z1288" s="29"/>
      <c r="AA1288" s="29"/>
      <c r="AB1288" s="29"/>
      <c r="AC1288" s="29"/>
      <c r="AD1288" s="29"/>
      <c r="AE1288" s="29"/>
      <c r="AF1288" s="29"/>
      <c r="AG1288" s="29"/>
      <c r="AH1288" s="29"/>
      <c r="AI1288" s="29"/>
      <c r="AJ1288" s="29"/>
      <c r="AK1288" s="29"/>
    </row>
    <row r="1289" spans="2:37" ht="16.2" x14ac:dyDescent="0.3">
      <c r="B1289" s="80"/>
      <c r="C1289" s="81"/>
      <c r="D1289" s="82"/>
      <c r="E1289" s="83"/>
      <c r="F1289" s="84"/>
      <c r="G1289" s="84"/>
      <c r="H1289" s="83"/>
      <c r="I1289" s="83"/>
      <c r="J1289" s="84"/>
      <c r="K1289" s="84"/>
      <c r="L1289" s="84"/>
      <c r="M1289" s="84"/>
      <c r="N1289" s="85"/>
      <c r="O1289" s="86"/>
      <c r="P1289" s="97"/>
      <c r="Q1289" s="91"/>
      <c r="R1289" s="91"/>
      <c r="S1289" s="75"/>
      <c r="T1289" s="29"/>
      <c r="U1289" s="29"/>
      <c r="V1289" s="29"/>
      <c r="W1289" s="29"/>
      <c r="X1289" s="29"/>
      <c r="Y1289" s="29"/>
      <c r="Z1289" s="29"/>
      <c r="AA1289" s="29"/>
      <c r="AB1289" s="29"/>
      <c r="AC1289" s="29"/>
      <c r="AD1289" s="29"/>
      <c r="AE1289" s="29"/>
      <c r="AF1289" s="29"/>
      <c r="AG1289" s="29"/>
      <c r="AH1289" s="29"/>
      <c r="AI1289" s="29"/>
      <c r="AJ1289" s="29"/>
      <c r="AK1289" s="29"/>
    </row>
    <row r="1290" spans="2:37" ht="16.2" x14ac:dyDescent="0.3">
      <c r="B1290" s="80"/>
      <c r="C1290" s="81"/>
      <c r="D1290" s="82"/>
      <c r="E1290" s="83"/>
      <c r="F1290" s="84"/>
      <c r="G1290" s="84"/>
      <c r="H1290" s="83"/>
      <c r="I1290" s="83"/>
      <c r="J1290" s="84"/>
      <c r="K1290" s="84"/>
      <c r="L1290" s="84"/>
      <c r="M1290" s="84"/>
      <c r="N1290" s="85"/>
      <c r="O1290" s="86"/>
      <c r="P1290" s="97"/>
      <c r="Q1290" s="91"/>
      <c r="R1290" s="91"/>
      <c r="S1290" s="75"/>
      <c r="T1290" s="29"/>
      <c r="U1290" s="29"/>
      <c r="V1290" s="29"/>
      <c r="W1290" s="29"/>
      <c r="X1290" s="29"/>
      <c r="Y1290" s="29"/>
      <c r="Z1290" s="29"/>
      <c r="AA1290" s="29"/>
      <c r="AB1290" s="29"/>
      <c r="AC1290" s="29"/>
      <c r="AD1290" s="29"/>
      <c r="AE1290" s="29"/>
      <c r="AF1290" s="29"/>
      <c r="AG1290" s="29"/>
      <c r="AH1290" s="29"/>
      <c r="AI1290" s="29"/>
      <c r="AJ1290" s="29"/>
      <c r="AK1290" s="29"/>
    </row>
    <row r="1291" spans="2:37" ht="16.2" x14ac:dyDescent="0.3">
      <c r="B1291" s="80"/>
      <c r="C1291" s="81"/>
      <c r="D1291" s="82"/>
      <c r="E1291" s="83"/>
      <c r="F1291" s="84"/>
      <c r="G1291" s="84"/>
      <c r="H1291" s="83"/>
      <c r="I1291" s="83"/>
      <c r="J1291" s="84"/>
      <c r="K1291" s="84"/>
      <c r="L1291" s="84"/>
      <c r="M1291" s="84"/>
      <c r="N1291" s="85"/>
      <c r="O1291" s="86"/>
      <c r="P1291" s="97"/>
      <c r="Q1291" s="91"/>
      <c r="R1291" s="91"/>
      <c r="S1291" s="75"/>
      <c r="T1291" s="29"/>
      <c r="U1291" s="29"/>
      <c r="V1291" s="29"/>
      <c r="W1291" s="29"/>
      <c r="X1291" s="29"/>
      <c r="Y1291" s="29"/>
      <c r="Z1291" s="29"/>
      <c r="AA1291" s="29"/>
      <c r="AB1291" s="29"/>
      <c r="AC1291" s="29"/>
      <c r="AD1291" s="29"/>
      <c r="AE1291" s="29"/>
      <c r="AF1291" s="29"/>
      <c r="AG1291" s="29"/>
      <c r="AH1291" s="29"/>
      <c r="AI1291" s="29"/>
      <c r="AJ1291" s="29"/>
      <c r="AK1291" s="29"/>
    </row>
    <row r="1292" spans="2:37" ht="16.2" x14ac:dyDescent="0.3">
      <c r="B1292" s="80"/>
      <c r="C1292" s="81"/>
      <c r="D1292" s="82"/>
      <c r="E1292" s="83"/>
      <c r="F1292" s="84"/>
      <c r="G1292" s="84"/>
      <c r="H1292" s="83"/>
      <c r="I1292" s="83"/>
      <c r="J1292" s="84"/>
      <c r="K1292" s="84"/>
      <c r="L1292" s="84"/>
      <c r="M1292" s="84"/>
      <c r="N1292" s="85"/>
      <c r="O1292" s="86"/>
      <c r="P1292" s="97"/>
      <c r="Q1292" s="91"/>
      <c r="R1292" s="91"/>
      <c r="S1292" s="75"/>
      <c r="T1292" s="29"/>
      <c r="U1292" s="29"/>
      <c r="V1292" s="29"/>
      <c r="W1292" s="29"/>
      <c r="X1292" s="29"/>
      <c r="Y1292" s="29"/>
      <c r="Z1292" s="29"/>
      <c r="AA1292" s="29"/>
      <c r="AB1292" s="29"/>
      <c r="AC1292" s="29"/>
      <c r="AD1292" s="29"/>
      <c r="AE1292" s="29"/>
      <c r="AF1292" s="29"/>
      <c r="AG1292" s="29"/>
      <c r="AH1292" s="29"/>
      <c r="AI1292" s="29"/>
      <c r="AJ1292" s="29"/>
      <c r="AK1292" s="29"/>
    </row>
    <row r="1293" spans="2:37" ht="16.2" x14ac:dyDescent="0.3">
      <c r="B1293" s="80"/>
      <c r="C1293" s="81"/>
      <c r="D1293" s="82"/>
      <c r="E1293" s="83"/>
      <c r="F1293" s="84"/>
      <c r="G1293" s="84"/>
      <c r="H1293" s="83"/>
      <c r="I1293" s="83"/>
      <c r="J1293" s="84"/>
      <c r="K1293" s="84"/>
      <c r="L1293" s="84"/>
      <c r="M1293" s="84"/>
      <c r="N1293" s="85"/>
      <c r="O1293" s="86"/>
      <c r="P1293" s="97"/>
      <c r="Q1293" s="91"/>
      <c r="R1293" s="91"/>
      <c r="S1293" s="75"/>
      <c r="T1293" s="29"/>
      <c r="U1293" s="29"/>
      <c r="V1293" s="29"/>
      <c r="W1293" s="29"/>
      <c r="X1293" s="29"/>
      <c r="Y1293" s="29"/>
      <c r="Z1293" s="29"/>
      <c r="AA1293" s="29"/>
      <c r="AB1293" s="29"/>
      <c r="AC1293" s="29"/>
      <c r="AD1293" s="29"/>
      <c r="AE1293" s="29"/>
      <c r="AF1293" s="29"/>
      <c r="AG1293" s="29"/>
      <c r="AH1293" s="29"/>
      <c r="AI1293" s="29"/>
      <c r="AJ1293" s="29"/>
      <c r="AK1293" s="29"/>
    </row>
    <row r="1294" spans="2:37" ht="16.2" x14ac:dyDescent="0.3">
      <c r="B1294" s="80"/>
      <c r="C1294" s="81"/>
      <c r="D1294" s="82"/>
      <c r="E1294" s="83"/>
      <c r="F1294" s="84"/>
      <c r="G1294" s="84"/>
      <c r="H1294" s="83"/>
      <c r="I1294" s="83"/>
      <c r="J1294" s="84"/>
      <c r="K1294" s="84"/>
      <c r="L1294" s="84"/>
      <c r="M1294" s="84"/>
      <c r="N1294" s="85"/>
      <c r="O1294" s="86"/>
      <c r="P1294" s="97"/>
      <c r="Q1294" s="91"/>
      <c r="R1294" s="91"/>
      <c r="S1294" s="75"/>
      <c r="T1294" s="29"/>
      <c r="U1294" s="29"/>
      <c r="V1294" s="29"/>
      <c r="W1294" s="29"/>
      <c r="X1294" s="29"/>
      <c r="Y1294" s="29"/>
      <c r="Z1294" s="29"/>
      <c r="AA1294" s="29"/>
      <c r="AB1294" s="29"/>
      <c r="AC1294" s="29"/>
      <c r="AD1294" s="29"/>
      <c r="AE1294" s="29"/>
      <c r="AF1294" s="29"/>
      <c r="AG1294" s="29"/>
      <c r="AH1294" s="29"/>
      <c r="AI1294" s="29"/>
      <c r="AJ1294" s="29"/>
      <c r="AK1294" s="29"/>
    </row>
    <row r="1295" spans="2:37" ht="16.2" x14ac:dyDescent="0.3">
      <c r="B1295" s="80"/>
      <c r="C1295" s="81"/>
      <c r="D1295" s="82"/>
      <c r="E1295" s="83"/>
      <c r="F1295" s="84"/>
      <c r="G1295" s="84"/>
      <c r="H1295" s="83"/>
      <c r="I1295" s="83"/>
      <c r="J1295" s="84"/>
      <c r="K1295" s="84"/>
      <c r="L1295" s="84"/>
      <c r="M1295" s="84"/>
      <c r="N1295" s="85"/>
      <c r="O1295" s="86"/>
      <c r="P1295" s="97"/>
      <c r="Q1295" s="91"/>
      <c r="R1295" s="91"/>
      <c r="S1295" s="75"/>
      <c r="T1295" s="29"/>
      <c r="U1295" s="29"/>
      <c r="V1295" s="29"/>
      <c r="W1295" s="29"/>
      <c r="X1295" s="29"/>
      <c r="Y1295" s="29"/>
      <c r="Z1295" s="29"/>
      <c r="AA1295" s="29"/>
      <c r="AB1295" s="29"/>
      <c r="AC1295" s="29"/>
      <c r="AD1295" s="29"/>
      <c r="AE1295" s="29"/>
      <c r="AF1295" s="29"/>
      <c r="AG1295" s="29"/>
      <c r="AH1295" s="29"/>
      <c r="AI1295" s="29"/>
      <c r="AJ1295" s="29"/>
      <c r="AK1295" s="29"/>
    </row>
    <row r="1296" spans="2:37" ht="16.2" x14ac:dyDescent="0.3">
      <c r="B1296" s="80"/>
      <c r="C1296" s="81"/>
      <c r="D1296" s="82"/>
      <c r="E1296" s="83"/>
      <c r="F1296" s="84"/>
      <c r="G1296" s="84"/>
      <c r="H1296" s="83"/>
      <c r="I1296" s="83"/>
      <c r="J1296" s="84"/>
      <c r="K1296" s="84"/>
      <c r="L1296" s="84"/>
      <c r="M1296" s="84"/>
      <c r="N1296" s="85"/>
      <c r="O1296" s="86"/>
      <c r="P1296" s="97"/>
      <c r="Q1296" s="91"/>
      <c r="R1296" s="91"/>
      <c r="S1296" s="75"/>
      <c r="T1296" s="29"/>
      <c r="U1296" s="29"/>
      <c r="V1296" s="29"/>
      <c r="W1296" s="29"/>
      <c r="X1296" s="29"/>
      <c r="Y1296" s="29"/>
      <c r="Z1296" s="29"/>
      <c r="AA1296" s="29"/>
      <c r="AB1296" s="29"/>
      <c r="AC1296" s="29"/>
      <c r="AD1296" s="29"/>
      <c r="AE1296" s="29"/>
      <c r="AF1296" s="29"/>
      <c r="AG1296" s="29"/>
      <c r="AH1296" s="29"/>
      <c r="AI1296" s="29"/>
      <c r="AJ1296" s="29"/>
      <c r="AK1296" s="29"/>
    </row>
    <row r="1297" spans="2:37" ht="16.2" x14ac:dyDescent="0.3">
      <c r="B1297" s="80"/>
      <c r="C1297" s="81"/>
      <c r="D1297" s="82"/>
      <c r="E1297" s="83"/>
      <c r="F1297" s="84"/>
      <c r="G1297" s="84"/>
      <c r="H1297" s="83"/>
      <c r="I1297" s="83"/>
      <c r="J1297" s="84"/>
      <c r="K1297" s="84"/>
      <c r="L1297" s="84"/>
      <c r="M1297" s="84"/>
      <c r="N1297" s="85"/>
      <c r="O1297" s="86"/>
      <c r="P1297" s="97"/>
      <c r="Q1297" s="91"/>
      <c r="R1297" s="91"/>
      <c r="S1297" s="75"/>
      <c r="T1297" s="29"/>
      <c r="U1297" s="29"/>
      <c r="V1297" s="29"/>
      <c r="W1297" s="29"/>
      <c r="X1297" s="29"/>
      <c r="Y1297" s="29"/>
      <c r="Z1297" s="29"/>
      <c r="AA1297" s="29"/>
      <c r="AB1297" s="29"/>
      <c r="AC1297" s="29"/>
      <c r="AD1297" s="29"/>
      <c r="AE1297" s="29"/>
      <c r="AF1297" s="29"/>
      <c r="AG1297" s="29"/>
      <c r="AH1297" s="29"/>
      <c r="AI1297" s="29"/>
      <c r="AJ1297" s="29"/>
      <c r="AK1297" s="29"/>
    </row>
    <row r="1298" spans="2:37" ht="16.2" x14ac:dyDescent="0.3">
      <c r="B1298" s="80"/>
      <c r="C1298" s="81"/>
      <c r="D1298" s="82"/>
      <c r="E1298" s="83"/>
      <c r="F1298" s="84"/>
      <c r="G1298" s="84"/>
      <c r="H1298" s="83"/>
      <c r="I1298" s="83"/>
      <c r="J1298" s="84"/>
      <c r="K1298" s="84"/>
      <c r="L1298" s="84"/>
      <c r="M1298" s="84"/>
      <c r="N1298" s="85"/>
      <c r="O1298" s="86"/>
      <c r="P1298" s="97"/>
      <c r="Q1298" s="91"/>
      <c r="R1298" s="91"/>
      <c r="S1298" s="75"/>
      <c r="T1298" s="29"/>
      <c r="U1298" s="29"/>
      <c r="V1298" s="29"/>
      <c r="W1298" s="29"/>
      <c r="X1298" s="29"/>
      <c r="Y1298" s="29"/>
      <c r="Z1298" s="29"/>
      <c r="AA1298" s="29"/>
      <c r="AB1298" s="29"/>
      <c r="AC1298" s="29"/>
      <c r="AD1298" s="29"/>
      <c r="AE1298" s="29"/>
      <c r="AF1298" s="29"/>
      <c r="AG1298" s="29"/>
      <c r="AH1298" s="29"/>
      <c r="AI1298" s="29"/>
      <c r="AJ1298" s="29"/>
      <c r="AK1298" s="29"/>
    </row>
    <row r="1299" spans="2:37" ht="16.2" x14ac:dyDescent="0.3">
      <c r="B1299" s="80"/>
      <c r="C1299" s="81"/>
      <c r="D1299" s="82"/>
      <c r="E1299" s="83"/>
      <c r="F1299" s="84"/>
      <c r="G1299" s="84"/>
      <c r="H1299" s="83"/>
      <c r="I1299" s="83"/>
      <c r="J1299" s="84"/>
      <c r="K1299" s="84"/>
      <c r="L1299" s="84"/>
      <c r="M1299" s="84"/>
      <c r="N1299" s="85"/>
      <c r="O1299" s="86"/>
      <c r="P1299" s="97"/>
      <c r="Q1299" s="91"/>
      <c r="R1299" s="91"/>
      <c r="S1299" s="75"/>
      <c r="T1299" s="29"/>
      <c r="U1299" s="29"/>
      <c r="V1299" s="29"/>
      <c r="W1299" s="29"/>
      <c r="X1299" s="29"/>
      <c r="Y1299" s="29"/>
      <c r="Z1299" s="29"/>
      <c r="AA1299" s="29"/>
      <c r="AB1299" s="29"/>
      <c r="AC1299" s="29"/>
      <c r="AD1299" s="29"/>
      <c r="AE1299" s="29"/>
      <c r="AF1299" s="29"/>
      <c r="AG1299" s="29"/>
      <c r="AH1299" s="29"/>
      <c r="AI1299" s="29"/>
      <c r="AJ1299" s="29"/>
      <c r="AK1299" s="29"/>
    </row>
    <row r="1300" spans="2:37" ht="16.2" x14ac:dyDescent="0.3">
      <c r="B1300" s="80"/>
      <c r="C1300" s="81"/>
      <c r="D1300" s="82"/>
      <c r="E1300" s="83"/>
      <c r="F1300" s="84"/>
      <c r="G1300" s="84"/>
      <c r="H1300" s="83"/>
      <c r="I1300" s="83"/>
      <c r="J1300" s="84"/>
      <c r="K1300" s="84"/>
      <c r="L1300" s="84"/>
      <c r="M1300" s="84"/>
      <c r="N1300" s="85"/>
      <c r="O1300" s="86"/>
      <c r="P1300" s="97"/>
      <c r="Q1300" s="91"/>
      <c r="R1300" s="91"/>
      <c r="S1300" s="75"/>
      <c r="T1300" s="29"/>
      <c r="U1300" s="29"/>
      <c r="V1300" s="29"/>
      <c r="W1300" s="29"/>
      <c r="X1300" s="29"/>
      <c r="Y1300" s="29"/>
      <c r="Z1300" s="29"/>
      <c r="AA1300" s="29"/>
      <c r="AB1300" s="29"/>
      <c r="AC1300" s="29"/>
      <c r="AD1300" s="29"/>
      <c r="AE1300" s="29"/>
      <c r="AF1300" s="29"/>
      <c r="AG1300" s="29"/>
      <c r="AH1300" s="29"/>
      <c r="AI1300" s="29"/>
      <c r="AJ1300" s="29"/>
      <c r="AK1300" s="29"/>
    </row>
    <row r="1301" spans="2:37" ht="16.2" x14ac:dyDescent="0.3">
      <c r="B1301" s="80"/>
      <c r="C1301" s="81"/>
      <c r="D1301" s="82"/>
      <c r="E1301" s="83"/>
      <c r="F1301" s="84"/>
      <c r="G1301" s="84"/>
      <c r="H1301" s="83"/>
      <c r="I1301" s="83"/>
      <c r="J1301" s="84"/>
      <c r="K1301" s="84"/>
      <c r="L1301" s="84"/>
      <c r="M1301" s="84"/>
      <c r="N1301" s="85"/>
      <c r="O1301" s="86"/>
      <c r="P1301" s="97"/>
      <c r="Q1301" s="91"/>
      <c r="R1301" s="91"/>
      <c r="S1301" s="75"/>
      <c r="T1301" s="29"/>
      <c r="U1301" s="29"/>
      <c r="V1301" s="29"/>
      <c r="W1301" s="29"/>
      <c r="X1301" s="29"/>
      <c r="Y1301" s="29"/>
      <c r="Z1301" s="29"/>
      <c r="AA1301" s="29"/>
      <c r="AB1301" s="29"/>
      <c r="AC1301" s="29"/>
      <c r="AD1301" s="29"/>
      <c r="AE1301" s="29"/>
      <c r="AF1301" s="29"/>
      <c r="AG1301" s="29"/>
      <c r="AH1301" s="29"/>
      <c r="AI1301" s="29"/>
      <c r="AJ1301" s="29"/>
      <c r="AK1301" s="29"/>
    </row>
    <row r="1302" spans="2:37" ht="16.2" x14ac:dyDescent="0.3">
      <c r="B1302" s="80"/>
      <c r="C1302" s="81"/>
      <c r="D1302" s="82"/>
      <c r="E1302" s="83"/>
      <c r="F1302" s="84"/>
      <c r="G1302" s="84"/>
      <c r="H1302" s="83"/>
      <c r="I1302" s="83"/>
      <c r="J1302" s="84"/>
      <c r="K1302" s="84"/>
      <c r="L1302" s="84"/>
      <c r="M1302" s="84"/>
      <c r="N1302" s="85"/>
      <c r="O1302" s="86"/>
      <c r="P1302" s="97"/>
      <c r="Q1302" s="91"/>
      <c r="R1302" s="91"/>
      <c r="S1302" s="75"/>
      <c r="T1302" s="29"/>
      <c r="U1302" s="29"/>
      <c r="V1302" s="29"/>
      <c r="W1302" s="29"/>
      <c r="X1302" s="29"/>
      <c r="Y1302" s="29"/>
      <c r="Z1302" s="29"/>
      <c r="AA1302" s="29"/>
      <c r="AB1302" s="29"/>
      <c r="AC1302" s="29"/>
      <c r="AD1302" s="29"/>
      <c r="AE1302" s="29"/>
      <c r="AF1302" s="29"/>
      <c r="AG1302" s="29"/>
      <c r="AH1302" s="29"/>
      <c r="AI1302" s="29"/>
      <c r="AJ1302" s="29"/>
      <c r="AK1302" s="29"/>
    </row>
    <row r="1303" spans="2:37" ht="16.2" x14ac:dyDescent="0.3">
      <c r="B1303" s="80"/>
      <c r="C1303" s="81"/>
      <c r="D1303" s="82"/>
      <c r="E1303" s="83"/>
      <c r="F1303" s="84"/>
      <c r="G1303" s="84"/>
      <c r="H1303" s="83"/>
      <c r="I1303" s="83"/>
      <c r="J1303" s="84"/>
      <c r="K1303" s="84"/>
      <c r="L1303" s="84"/>
      <c r="M1303" s="84"/>
      <c r="N1303" s="85"/>
      <c r="O1303" s="86"/>
      <c r="P1303" s="97"/>
      <c r="Q1303" s="91"/>
      <c r="R1303" s="91"/>
      <c r="S1303" s="75"/>
      <c r="T1303" s="29"/>
      <c r="U1303" s="29"/>
      <c r="V1303" s="29"/>
      <c r="W1303" s="29"/>
      <c r="X1303" s="29"/>
      <c r="Y1303" s="29"/>
      <c r="Z1303" s="29"/>
      <c r="AA1303" s="29"/>
      <c r="AB1303" s="29"/>
      <c r="AC1303" s="29"/>
      <c r="AD1303" s="29"/>
      <c r="AE1303" s="29"/>
      <c r="AF1303" s="29"/>
      <c r="AG1303" s="29"/>
      <c r="AH1303" s="29"/>
      <c r="AI1303" s="29"/>
      <c r="AJ1303" s="29"/>
      <c r="AK1303" s="29"/>
    </row>
    <row r="1304" spans="2:37" ht="16.2" x14ac:dyDescent="0.3">
      <c r="B1304" s="80"/>
      <c r="C1304" s="81"/>
      <c r="D1304" s="82"/>
      <c r="E1304" s="83"/>
      <c r="F1304" s="84"/>
      <c r="G1304" s="84"/>
      <c r="H1304" s="83"/>
      <c r="I1304" s="83"/>
      <c r="J1304" s="84"/>
      <c r="K1304" s="84"/>
      <c r="L1304" s="84"/>
      <c r="M1304" s="84"/>
      <c r="N1304" s="85"/>
      <c r="O1304" s="86"/>
      <c r="P1304" s="97"/>
      <c r="Q1304" s="91"/>
      <c r="R1304" s="91"/>
      <c r="S1304" s="75"/>
      <c r="T1304" s="29"/>
      <c r="U1304" s="29"/>
      <c r="V1304" s="29"/>
      <c r="W1304" s="29"/>
      <c r="X1304" s="29"/>
      <c r="Y1304" s="29"/>
      <c r="Z1304" s="29"/>
      <c r="AA1304" s="29"/>
      <c r="AB1304" s="29"/>
      <c r="AC1304" s="29"/>
      <c r="AD1304" s="29"/>
      <c r="AE1304" s="29"/>
      <c r="AF1304" s="29"/>
      <c r="AG1304" s="29"/>
      <c r="AH1304" s="29"/>
      <c r="AI1304" s="29"/>
      <c r="AJ1304" s="29"/>
      <c r="AK1304" s="29"/>
    </row>
    <row r="1305" spans="2:37" ht="16.2" x14ac:dyDescent="0.3">
      <c r="B1305" s="80"/>
      <c r="C1305" s="81"/>
      <c r="D1305" s="82"/>
      <c r="E1305" s="83"/>
      <c r="F1305" s="84"/>
      <c r="G1305" s="84"/>
      <c r="H1305" s="83"/>
      <c r="I1305" s="83"/>
      <c r="J1305" s="84"/>
      <c r="K1305" s="84"/>
      <c r="L1305" s="84"/>
      <c r="M1305" s="84"/>
      <c r="N1305" s="85"/>
      <c r="O1305" s="86"/>
      <c r="P1305" s="97"/>
      <c r="Q1305" s="91"/>
      <c r="R1305" s="91"/>
      <c r="S1305" s="75"/>
      <c r="T1305" s="29"/>
      <c r="U1305" s="29"/>
      <c r="V1305" s="29"/>
      <c r="W1305" s="29"/>
      <c r="X1305" s="29"/>
      <c r="Y1305" s="29"/>
      <c r="Z1305" s="29"/>
      <c r="AA1305" s="29"/>
      <c r="AB1305" s="29"/>
      <c r="AC1305" s="29"/>
      <c r="AD1305" s="29"/>
      <c r="AE1305" s="29"/>
      <c r="AF1305" s="29"/>
      <c r="AG1305" s="29"/>
      <c r="AH1305" s="29"/>
      <c r="AI1305" s="29"/>
      <c r="AJ1305" s="29"/>
      <c r="AK1305" s="29"/>
    </row>
    <row r="1306" spans="2:37" ht="16.2" x14ac:dyDescent="0.3">
      <c r="B1306" s="80"/>
      <c r="C1306" s="81"/>
      <c r="D1306" s="82"/>
      <c r="E1306" s="83"/>
      <c r="F1306" s="84"/>
      <c r="G1306" s="84"/>
      <c r="H1306" s="83"/>
      <c r="I1306" s="83"/>
      <c r="J1306" s="84"/>
      <c r="K1306" s="84"/>
      <c r="L1306" s="84"/>
      <c r="M1306" s="84"/>
      <c r="N1306" s="85"/>
      <c r="O1306" s="86"/>
      <c r="P1306" s="97"/>
      <c r="Q1306" s="91"/>
      <c r="R1306" s="91"/>
      <c r="S1306" s="75"/>
      <c r="T1306" s="29"/>
      <c r="U1306" s="29"/>
      <c r="V1306" s="29"/>
      <c r="W1306" s="29"/>
      <c r="X1306" s="29"/>
      <c r="Y1306" s="29"/>
      <c r="Z1306" s="29"/>
      <c r="AA1306" s="29"/>
      <c r="AB1306" s="29"/>
      <c r="AC1306" s="29"/>
      <c r="AD1306" s="29"/>
      <c r="AE1306" s="29"/>
      <c r="AF1306" s="29"/>
      <c r="AG1306" s="29"/>
      <c r="AH1306" s="29"/>
      <c r="AI1306" s="29"/>
      <c r="AJ1306" s="29"/>
      <c r="AK1306" s="29"/>
    </row>
    <row r="1307" spans="2:37" ht="16.2" x14ac:dyDescent="0.3">
      <c r="B1307" s="80"/>
      <c r="C1307" s="81"/>
      <c r="D1307" s="82"/>
      <c r="E1307" s="83"/>
      <c r="F1307" s="84"/>
      <c r="G1307" s="84"/>
      <c r="H1307" s="83"/>
      <c r="I1307" s="83"/>
      <c r="J1307" s="84"/>
      <c r="K1307" s="84"/>
      <c r="L1307" s="84"/>
      <c r="M1307" s="84"/>
      <c r="N1307" s="85"/>
      <c r="O1307" s="86"/>
      <c r="P1307" s="97"/>
      <c r="Q1307" s="91"/>
      <c r="R1307" s="91"/>
      <c r="S1307" s="75"/>
      <c r="T1307" s="29"/>
      <c r="U1307" s="29"/>
      <c r="V1307" s="29"/>
      <c r="W1307" s="29"/>
      <c r="X1307" s="29"/>
      <c r="Y1307" s="29"/>
      <c r="Z1307" s="29"/>
      <c r="AA1307" s="29"/>
      <c r="AB1307" s="29"/>
      <c r="AC1307" s="29"/>
      <c r="AD1307" s="29"/>
      <c r="AE1307" s="29"/>
      <c r="AF1307" s="29"/>
      <c r="AG1307" s="29"/>
      <c r="AH1307" s="29"/>
      <c r="AI1307" s="29"/>
      <c r="AJ1307" s="29"/>
      <c r="AK1307" s="29"/>
    </row>
    <row r="1308" spans="2:37" ht="16.2" x14ac:dyDescent="0.3">
      <c r="B1308" s="80"/>
      <c r="C1308" s="81"/>
      <c r="D1308" s="82"/>
      <c r="E1308" s="83"/>
      <c r="F1308" s="84"/>
      <c r="G1308" s="84"/>
      <c r="H1308" s="83"/>
      <c r="I1308" s="83"/>
      <c r="J1308" s="84"/>
      <c r="K1308" s="84"/>
      <c r="L1308" s="84"/>
      <c r="M1308" s="84"/>
      <c r="N1308" s="85"/>
      <c r="O1308" s="86"/>
      <c r="P1308" s="97"/>
      <c r="Q1308" s="91"/>
      <c r="R1308" s="91"/>
      <c r="S1308" s="75"/>
      <c r="T1308" s="29"/>
      <c r="U1308" s="29"/>
      <c r="V1308" s="29"/>
      <c r="W1308" s="29"/>
      <c r="X1308" s="29"/>
      <c r="Y1308" s="29"/>
      <c r="Z1308" s="29"/>
      <c r="AA1308" s="29"/>
      <c r="AB1308" s="29"/>
      <c r="AC1308" s="29"/>
      <c r="AD1308" s="29"/>
      <c r="AE1308" s="29"/>
      <c r="AF1308" s="29"/>
      <c r="AG1308" s="29"/>
      <c r="AH1308" s="29"/>
      <c r="AI1308" s="29"/>
      <c r="AJ1308" s="29"/>
      <c r="AK1308" s="29"/>
    </row>
    <row r="1309" spans="2:37" ht="16.2" x14ac:dyDescent="0.3">
      <c r="B1309" s="80"/>
      <c r="C1309" s="81"/>
      <c r="D1309" s="82"/>
      <c r="E1309" s="83"/>
      <c r="F1309" s="84"/>
      <c r="G1309" s="84"/>
      <c r="H1309" s="83"/>
      <c r="I1309" s="83"/>
      <c r="J1309" s="84"/>
      <c r="K1309" s="84"/>
      <c r="L1309" s="84"/>
      <c r="M1309" s="84"/>
      <c r="N1309" s="85"/>
      <c r="O1309" s="86"/>
      <c r="P1309" s="97"/>
      <c r="Q1309" s="91"/>
      <c r="R1309" s="91"/>
      <c r="S1309" s="75"/>
      <c r="T1309" s="29"/>
      <c r="U1309" s="29"/>
      <c r="V1309" s="29"/>
      <c r="W1309" s="29"/>
      <c r="X1309" s="29"/>
      <c r="Y1309" s="29"/>
      <c r="Z1309" s="29"/>
      <c r="AA1309" s="29"/>
      <c r="AB1309" s="29"/>
      <c r="AC1309" s="29"/>
      <c r="AD1309" s="29"/>
      <c r="AE1309" s="29"/>
      <c r="AF1309" s="29"/>
      <c r="AG1309" s="29"/>
      <c r="AH1309" s="29"/>
      <c r="AI1309" s="29"/>
      <c r="AJ1309" s="29"/>
      <c r="AK1309" s="29"/>
    </row>
    <row r="1310" spans="2:37" ht="16.2" x14ac:dyDescent="0.3">
      <c r="B1310" s="80"/>
      <c r="C1310" s="81"/>
      <c r="D1310" s="82"/>
      <c r="E1310" s="83"/>
      <c r="F1310" s="84"/>
      <c r="G1310" s="84"/>
      <c r="H1310" s="83"/>
      <c r="I1310" s="83"/>
      <c r="J1310" s="84"/>
      <c r="K1310" s="84"/>
      <c r="L1310" s="84"/>
      <c r="M1310" s="84"/>
      <c r="N1310" s="85"/>
      <c r="O1310" s="86"/>
      <c r="P1310" s="97"/>
      <c r="Q1310" s="91"/>
      <c r="R1310" s="91"/>
      <c r="S1310" s="75"/>
      <c r="T1310" s="29"/>
      <c r="U1310" s="29"/>
      <c r="V1310" s="29"/>
      <c r="W1310" s="29"/>
      <c r="X1310" s="29"/>
      <c r="Y1310" s="29"/>
      <c r="Z1310" s="29"/>
      <c r="AA1310" s="29"/>
      <c r="AB1310" s="29"/>
      <c r="AC1310" s="29"/>
      <c r="AD1310" s="29"/>
      <c r="AE1310" s="29"/>
      <c r="AF1310" s="29"/>
      <c r="AG1310" s="29"/>
      <c r="AH1310" s="29"/>
      <c r="AI1310" s="29"/>
      <c r="AJ1310" s="29"/>
      <c r="AK1310" s="29"/>
    </row>
    <row r="1311" spans="2:37" ht="16.2" x14ac:dyDescent="0.3">
      <c r="B1311" s="80"/>
      <c r="C1311" s="81"/>
      <c r="D1311" s="82"/>
      <c r="E1311" s="83"/>
      <c r="F1311" s="84"/>
      <c r="G1311" s="84"/>
      <c r="H1311" s="83"/>
      <c r="I1311" s="83"/>
      <c r="J1311" s="84"/>
      <c r="K1311" s="84"/>
      <c r="L1311" s="84"/>
      <c r="M1311" s="84"/>
      <c r="N1311" s="85"/>
      <c r="O1311" s="86"/>
      <c r="P1311" s="97"/>
      <c r="Q1311" s="91"/>
      <c r="R1311" s="91"/>
      <c r="S1311" s="75"/>
      <c r="T1311" s="29"/>
      <c r="U1311" s="29"/>
      <c r="V1311" s="29"/>
      <c r="W1311" s="29"/>
      <c r="X1311" s="29"/>
      <c r="Y1311" s="29"/>
      <c r="Z1311" s="29"/>
      <c r="AA1311" s="29"/>
      <c r="AB1311" s="29"/>
      <c r="AC1311" s="29"/>
      <c r="AD1311" s="29"/>
      <c r="AE1311" s="29"/>
      <c r="AF1311" s="29"/>
      <c r="AG1311" s="29"/>
      <c r="AH1311" s="29"/>
      <c r="AI1311" s="29"/>
      <c r="AJ1311" s="29"/>
      <c r="AK1311" s="29"/>
    </row>
    <row r="1312" spans="2:37" ht="16.2" x14ac:dyDescent="0.3">
      <c r="B1312" s="80"/>
      <c r="C1312" s="81"/>
      <c r="D1312" s="82"/>
      <c r="E1312" s="83"/>
      <c r="F1312" s="84"/>
      <c r="G1312" s="84"/>
      <c r="H1312" s="83"/>
      <c r="I1312" s="83"/>
      <c r="J1312" s="84"/>
      <c r="K1312" s="84"/>
      <c r="L1312" s="84"/>
      <c r="M1312" s="84"/>
      <c r="N1312" s="85"/>
      <c r="O1312" s="86"/>
      <c r="P1312" s="97"/>
      <c r="Q1312" s="91"/>
      <c r="R1312" s="91"/>
      <c r="S1312" s="75"/>
      <c r="T1312" s="29"/>
      <c r="U1312" s="29"/>
      <c r="V1312" s="29"/>
      <c r="W1312" s="29"/>
      <c r="X1312" s="29"/>
      <c r="Y1312" s="29"/>
      <c r="Z1312" s="29"/>
      <c r="AA1312" s="29"/>
      <c r="AB1312" s="29"/>
      <c r="AC1312" s="29"/>
      <c r="AD1312" s="29"/>
      <c r="AE1312" s="29"/>
      <c r="AF1312" s="29"/>
      <c r="AG1312" s="29"/>
      <c r="AH1312" s="29"/>
      <c r="AI1312" s="29"/>
      <c r="AJ1312" s="29"/>
      <c r="AK1312" s="29"/>
    </row>
    <row r="1313" spans="2:37" ht="16.2" x14ac:dyDescent="0.3">
      <c r="B1313" s="80"/>
      <c r="C1313" s="81"/>
      <c r="D1313" s="82"/>
      <c r="E1313" s="83"/>
      <c r="F1313" s="84"/>
      <c r="G1313" s="84"/>
      <c r="H1313" s="83"/>
      <c r="I1313" s="83"/>
      <c r="J1313" s="84"/>
      <c r="K1313" s="84"/>
      <c r="L1313" s="84"/>
      <c r="M1313" s="84"/>
      <c r="N1313" s="85"/>
      <c r="O1313" s="86"/>
      <c r="P1313" s="97"/>
      <c r="Q1313" s="91"/>
      <c r="R1313" s="91"/>
      <c r="S1313" s="75"/>
      <c r="T1313" s="29"/>
      <c r="U1313" s="29"/>
      <c r="V1313" s="29"/>
      <c r="W1313" s="29"/>
      <c r="X1313" s="29"/>
      <c r="Y1313" s="29"/>
      <c r="Z1313" s="29"/>
      <c r="AA1313" s="29"/>
      <c r="AB1313" s="29"/>
      <c r="AC1313" s="29"/>
      <c r="AD1313" s="29"/>
      <c r="AE1313" s="29"/>
      <c r="AF1313" s="29"/>
      <c r="AG1313" s="29"/>
      <c r="AH1313" s="29"/>
      <c r="AI1313" s="29"/>
      <c r="AJ1313" s="29"/>
      <c r="AK1313" s="29"/>
    </row>
    <row r="1314" spans="2:37" ht="16.2" x14ac:dyDescent="0.3">
      <c r="B1314" s="80"/>
      <c r="C1314" s="81"/>
      <c r="D1314" s="82"/>
      <c r="E1314" s="83"/>
      <c r="F1314" s="84"/>
      <c r="G1314" s="84"/>
      <c r="H1314" s="83"/>
      <c r="I1314" s="83"/>
      <c r="J1314" s="84"/>
      <c r="K1314" s="84"/>
      <c r="L1314" s="84"/>
      <c r="M1314" s="84"/>
      <c r="N1314" s="85"/>
      <c r="O1314" s="86"/>
      <c r="P1314" s="97"/>
      <c r="Q1314" s="91"/>
      <c r="R1314" s="91"/>
      <c r="S1314" s="75"/>
      <c r="T1314" s="29"/>
      <c r="U1314" s="29"/>
      <c r="V1314" s="29"/>
      <c r="W1314" s="29"/>
      <c r="X1314" s="29"/>
      <c r="Y1314" s="29"/>
      <c r="Z1314" s="29"/>
      <c r="AA1314" s="29"/>
      <c r="AB1314" s="29"/>
      <c r="AC1314" s="29"/>
      <c r="AD1314" s="29"/>
      <c r="AE1314" s="29"/>
      <c r="AF1314" s="29"/>
      <c r="AG1314" s="29"/>
      <c r="AH1314" s="29"/>
      <c r="AI1314" s="29"/>
      <c r="AJ1314" s="29"/>
      <c r="AK1314" s="29"/>
    </row>
    <row r="1315" spans="2:37" ht="16.2" x14ac:dyDescent="0.3">
      <c r="B1315" s="80"/>
      <c r="C1315" s="81"/>
      <c r="D1315" s="82"/>
      <c r="E1315" s="83"/>
      <c r="F1315" s="84"/>
      <c r="G1315" s="84"/>
      <c r="H1315" s="83"/>
      <c r="I1315" s="83"/>
      <c r="J1315" s="84"/>
      <c r="K1315" s="84"/>
      <c r="L1315" s="84"/>
      <c r="M1315" s="84"/>
      <c r="N1315" s="85"/>
      <c r="O1315" s="86"/>
      <c r="P1315" s="97"/>
      <c r="Q1315" s="91"/>
      <c r="R1315" s="91"/>
      <c r="S1315" s="75"/>
      <c r="T1315" s="29"/>
      <c r="U1315" s="29"/>
      <c r="V1315" s="29"/>
      <c r="W1315" s="29"/>
      <c r="X1315" s="29"/>
      <c r="Y1315" s="29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</row>
    <row r="1316" spans="2:37" ht="16.2" x14ac:dyDescent="0.3">
      <c r="B1316" s="80"/>
      <c r="C1316" s="81"/>
      <c r="D1316" s="82"/>
      <c r="E1316" s="83"/>
      <c r="F1316" s="84"/>
      <c r="G1316" s="84"/>
      <c r="H1316" s="83"/>
      <c r="I1316" s="83"/>
      <c r="J1316" s="84"/>
      <c r="K1316" s="84"/>
      <c r="L1316" s="84"/>
      <c r="M1316" s="84"/>
      <c r="N1316" s="85"/>
      <c r="O1316" s="86"/>
      <c r="P1316" s="97"/>
      <c r="Q1316" s="91"/>
      <c r="R1316" s="91"/>
      <c r="S1316" s="75"/>
      <c r="T1316" s="29"/>
      <c r="U1316" s="29"/>
      <c r="V1316" s="29"/>
      <c r="W1316" s="29"/>
      <c r="X1316" s="29"/>
      <c r="Y1316" s="29"/>
      <c r="Z1316" s="29"/>
      <c r="AA1316" s="29"/>
      <c r="AB1316" s="29"/>
      <c r="AC1316" s="29"/>
      <c r="AD1316" s="29"/>
      <c r="AE1316" s="29"/>
      <c r="AF1316" s="29"/>
      <c r="AG1316" s="29"/>
      <c r="AH1316" s="29"/>
      <c r="AI1316" s="29"/>
      <c r="AJ1316" s="29"/>
      <c r="AK1316" s="29"/>
    </row>
    <row r="1317" spans="2:37" ht="16.2" x14ac:dyDescent="0.3">
      <c r="B1317" s="80"/>
      <c r="C1317" s="81"/>
      <c r="D1317" s="82"/>
      <c r="E1317" s="83"/>
      <c r="F1317" s="84"/>
      <c r="G1317" s="84"/>
      <c r="H1317" s="83"/>
      <c r="I1317" s="83"/>
      <c r="J1317" s="84"/>
      <c r="K1317" s="84"/>
      <c r="L1317" s="84"/>
      <c r="M1317" s="84"/>
      <c r="N1317" s="85"/>
      <c r="O1317" s="86"/>
      <c r="P1317" s="97"/>
      <c r="Q1317" s="91"/>
      <c r="R1317" s="91"/>
      <c r="S1317" s="75"/>
      <c r="T1317" s="29"/>
      <c r="U1317" s="29"/>
      <c r="V1317" s="29"/>
      <c r="W1317" s="29"/>
      <c r="X1317" s="29"/>
      <c r="Y1317" s="29"/>
      <c r="Z1317" s="29"/>
      <c r="AA1317" s="29"/>
      <c r="AB1317" s="29"/>
      <c r="AC1317" s="29"/>
      <c r="AD1317" s="29"/>
      <c r="AE1317" s="29"/>
      <c r="AF1317" s="29"/>
      <c r="AG1317" s="29"/>
      <c r="AH1317" s="29"/>
      <c r="AI1317" s="29"/>
      <c r="AJ1317" s="29"/>
      <c r="AK1317" s="29"/>
    </row>
    <row r="1318" spans="2:37" ht="16.2" x14ac:dyDescent="0.3">
      <c r="B1318" s="80"/>
      <c r="C1318" s="81"/>
      <c r="D1318" s="82"/>
      <c r="E1318" s="83"/>
      <c r="F1318" s="84"/>
      <c r="G1318" s="84"/>
      <c r="H1318" s="83"/>
      <c r="I1318" s="83"/>
      <c r="J1318" s="84"/>
      <c r="K1318" s="84"/>
      <c r="L1318" s="84"/>
      <c r="M1318" s="84"/>
      <c r="N1318" s="85"/>
      <c r="O1318" s="86"/>
      <c r="P1318" s="97"/>
      <c r="Q1318" s="91"/>
      <c r="R1318" s="91"/>
      <c r="S1318" s="75"/>
      <c r="T1318" s="29"/>
      <c r="U1318" s="29"/>
      <c r="V1318" s="29"/>
      <c r="W1318" s="29"/>
      <c r="X1318" s="29"/>
      <c r="Y1318" s="29"/>
      <c r="Z1318" s="29"/>
      <c r="AA1318" s="29"/>
      <c r="AB1318" s="29"/>
      <c r="AC1318" s="29"/>
      <c r="AD1318" s="29"/>
      <c r="AE1318" s="29"/>
      <c r="AF1318" s="29"/>
      <c r="AG1318" s="29"/>
      <c r="AH1318" s="29"/>
      <c r="AI1318" s="29"/>
      <c r="AJ1318" s="29"/>
      <c r="AK1318" s="29"/>
    </row>
    <row r="1319" spans="2:37" ht="16.2" x14ac:dyDescent="0.3">
      <c r="B1319" s="80"/>
      <c r="C1319" s="81"/>
      <c r="D1319" s="82"/>
      <c r="E1319" s="83"/>
      <c r="F1319" s="84"/>
      <c r="G1319" s="84"/>
      <c r="H1319" s="83"/>
      <c r="I1319" s="83"/>
      <c r="J1319" s="84"/>
      <c r="K1319" s="84"/>
      <c r="L1319" s="84"/>
      <c r="M1319" s="84"/>
      <c r="N1319" s="85"/>
      <c r="O1319" s="86"/>
      <c r="P1319" s="97"/>
      <c r="Q1319" s="91"/>
      <c r="R1319" s="91"/>
      <c r="S1319" s="75"/>
      <c r="T1319" s="29"/>
      <c r="U1319" s="29"/>
      <c r="V1319" s="29"/>
      <c r="W1319" s="29"/>
      <c r="X1319" s="29"/>
      <c r="Y1319" s="29"/>
      <c r="Z1319" s="29"/>
      <c r="AA1319" s="29"/>
      <c r="AB1319" s="29"/>
      <c r="AC1319" s="29"/>
      <c r="AD1319" s="29"/>
      <c r="AE1319" s="29"/>
      <c r="AF1319" s="29"/>
      <c r="AG1319" s="29"/>
      <c r="AH1319" s="29"/>
      <c r="AI1319" s="29"/>
      <c r="AJ1319" s="29"/>
      <c r="AK1319" s="29"/>
    </row>
    <row r="1320" spans="2:37" ht="16.2" x14ac:dyDescent="0.3">
      <c r="B1320" s="80"/>
      <c r="C1320" s="81"/>
      <c r="D1320" s="82"/>
      <c r="E1320" s="83"/>
      <c r="F1320" s="84"/>
      <c r="G1320" s="84"/>
      <c r="H1320" s="83"/>
      <c r="I1320" s="83"/>
      <c r="J1320" s="84"/>
      <c r="K1320" s="84"/>
      <c r="L1320" s="84"/>
      <c r="M1320" s="84"/>
      <c r="N1320" s="85"/>
      <c r="O1320" s="86"/>
      <c r="P1320" s="97"/>
      <c r="Q1320" s="91"/>
      <c r="R1320" s="91"/>
      <c r="S1320" s="75"/>
      <c r="T1320" s="29"/>
      <c r="U1320" s="29"/>
      <c r="V1320" s="29"/>
      <c r="W1320" s="29"/>
      <c r="X1320" s="29"/>
      <c r="Y1320" s="29"/>
      <c r="Z1320" s="29"/>
      <c r="AA1320" s="29"/>
      <c r="AB1320" s="29"/>
      <c r="AC1320" s="29"/>
      <c r="AD1320" s="29"/>
      <c r="AE1320" s="29"/>
      <c r="AF1320" s="29"/>
      <c r="AG1320" s="29"/>
      <c r="AH1320" s="29"/>
      <c r="AI1320" s="29"/>
      <c r="AJ1320" s="29"/>
      <c r="AK1320" s="29"/>
    </row>
    <row r="1321" spans="2:37" ht="16.2" x14ac:dyDescent="0.3">
      <c r="B1321" s="80"/>
      <c r="C1321" s="81"/>
      <c r="D1321" s="82"/>
      <c r="E1321" s="83"/>
      <c r="F1321" s="84"/>
      <c r="G1321" s="84"/>
      <c r="H1321" s="83"/>
      <c r="I1321" s="83"/>
      <c r="J1321" s="84"/>
      <c r="K1321" s="84"/>
      <c r="L1321" s="84"/>
      <c r="M1321" s="84"/>
      <c r="N1321" s="85"/>
      <c r="O1321" s="86"/>
      <c r="P1321" s="97"/>
      <c r="Q1321" s="91"/>
      <c r="R1321" s="91"/>
      <c r="S1321" s="75"/>
      <c r="T1321" s="29"/>
      <c r="U1321" s="29"/>
      <c r="V1321" s="29"/>
      <c r="W1321" s="29"/>
      <c r="X1321" s="29"/>
      <c r="Y1321" s="29"/>
      <c r="Z1321" s="29"/>
      <c r="AA1321" s="29"/>
      <c r="AB1321" s="29"/>
      <c r="AC1321" s="29"/>
      <c r="AD1321" s="29"/>
      <c r="AE1321" s="29"/>
      <c r="AF1321" s="29"/>
      <c r="AG1321" s="29"/>
      <c r="AH1321" s="29"/>
      <c r="AI1321" s="29"/>
      <c r="AJ1321" s="29"/>
      <c r="AK1321" s="29"/>
    </row>
    <row r="1322" spans="2:37" ht="16.2" x14ac:dyDescent="0.3">
      <c r="B1322" s="80"/>
      <c r="C1322" s="81"/>
      <c r="D1322" s="82"/>
      <c r="E1322" s="83"/>
      <c r="F1322" s="84"/>
      <c r="G1322" s="84"/>
      <c r="H1322" s="83"/>
      <c r="I1322" s="83"/>
      <c r="J1322" s="84"/>
      <c r="K1322" s="84"/>
      <c r="L1322" s="84"/>
      <c r="M1322" s="84"/>
      <c r="N1322" s="85"/>
      <c r="O1322" s="86"/>
      <c r="P1322" s="97"/>
      <c r="Q1322" s="91"/>
      <c r="R1322" s="91"/>
      <c r="S1322" s="29"/>
      <c r="T1322" s="29"/>
      <c r="U1322" s="29"/>
      <c r="V1322" s="29"/>
      <c r="W1322" s="29"/>
      <c r="X1322" s="29"/>
      <c r="Y1322" s="29"/>
      <c r="Z1322" s="29"/>
      <c r="AA1322" s="29"/>
      <c r="AB1322" s="29"/>
      <c r="AC1322" s="29"/>
      <c r="AD1322" s="29"/>
      <c r="AE1322" s="29"/>
      <c r="AF1322" s="29"/>
      <c r="AG1322" s="29"/>
      <c r="AH1322" s="29"/>
      <c r="AI1322" s="29"/>
      <c r="AJ1322" s="29"/>
      <c r="AK1322" s="29"/>
    </row>
    <row r="1323" spans="2:37" ht="16.2" x14ac:dyDescent="0.3">
      <c r="B1323" s="80"/>
      <c r="C1323" s="81"/>
      <c r="D1323" s="82"/>
      <c r="E1323" s="83"/>
      <c r="F1323" s="84"/>
      <c r="G1323" s="84"/>
      <c r="H1323" s="83"/>
      <c r="I1323" s="83"/>
      <c r="J1323" s="84"/>
      <c r="K1323" s="84"/>
      <c r="L1323" s="84"/>
      <c r="M1323" s="84"/>
      <c r="N1323" s="85"/>
      <c r="O1323" s="86"/>
      <c r="P1323" s="97"/>
      <c r="Q1323" s="91"/>
      <c r="R1323" s="91"/>
      <c r="S1323" s="29"/>
      <c r="T1323" s="29"/>
      <c r="U1323" s="29"/>
      <c r="V1323" s="29"/>
      <c r="W1323" s="29"/>
      <c r="X1323" s="29"/>
      <c r="Y1323" s="29"/>
      <c r="Z1323" s="29"/>
      <c r="AA1323" s="29"/>
      <c r="AB1323" s="29"/>
      <c r="AC1323" s="29"/>
      <c r="AD1323" s="29"/>
      <c r="AE1323" s="29"/>
      <c r="AF1323" s="29"/>
      <c r="AG1323" s="29"/>
      <c r="AH1323" s="29"/>
      <c r="AI1323" s="29"/>
      <c r="AJ1323" s="29"/>
      <c r="AK1323" s="29"/>
    </row>
    <row r="1324" spans="2:37" ht="16.2" x14ac:dyDescent="0.3">
      <c r="B1324" s="80"/>
      <c r="C1324" s="81"/>
      <c r="D1324" s="82"/>
      <c r="E1324" s="83"/>
      <c r="F1324" s="84"/>
      <c r="G1324" s="84"/>
      <c r="H1324" s="83"/>
      <c r="I1324" s="83"/>
      <c r="J1324" s="84"/>
      <c r="K1324" s="84"/>
      <c r="L1324" s="84"/>
      <c r="M1324" s="84"/>
      <c r="N1324" s="85"/>
      <c r="O1324" s="86"/>
      <c r="P1324" s="97"/>
      <c r="Q1324" s="91"/>
      <c r="R1324" s="91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  <c r="AC1324" s="29"/>
      <c r="AD1324" s="29"/>
      <c r="AE1324" s="29"/>
      <c r="AF1324" s="29"/>
      <c r="AG1324" s="29"/>
      <c r="AH1324" s="29"/>
      <c r="AI1324" s="29"/>
      <c r="AJ1324" s="29"/>
      <c r="AK1324" s="29"/>
    </row>
    <row r="1325" spans="2:37" ht="16.2" x14ac:dyDescent="0.3">
      <c r="B1325" s="80"/>
      <c r="C1325" s="81"/>
      <c r="D1325" s="82"/>
      <c r="E1325" s="83"/>
      <c r="F1325" s="84"/>
      <c r="G1325" s="84"/>
      <c r="H1325" s="83"/>
      <c r="I1325" s="83"/>
      <c r="J1325" s="84"/>
      <c r="K1325" s="84"/>
      <c r="L1325" s="84"/>
      <c r="M1325" s="84"/>
      <c r="N1325" s="85"/>
      <c r="O1325" s="86"/>
      <c r="P1325" s="97"/>
      <c r="Q1325" s="91"/>
      <c r="R1325" s="91"/>
      <c r="S1325" s="29"/>
      <c r="T1325" s="29"/>
      <c r="U1325" s="29"/>
      <c r="V1325" s="29"/>
      <c r="W1325" s="29"/>
      <c r="X1325" s="29"/>
      <c r="Y1325" s="29"/>
      <c r="Z1325" s="29"/>
      <c r="AA1325" s="29"/>
      <c r="AB1325" s="29"/>
      <c r="AC1325" s="29"/>
      <c r="AD1325" s="29"/>
      <c r="AE1325" s="29"/>
      <c r="AF1325" s="29"/>
      <c r="AG1325" s="29"/>
      <c r="AH1325" s="29"/>
      <c r="AI1325" s="29"/>
      <c r="AJ1325" s="29"/>
      <c r="AK1325" s="29"/>
    </row>
    <row r="1326" spans="2:37" ht="16.2" x14ac:dyDescent="0.3">
      <c r="B1326" s="80"/>
      <c r="C1326" s="81"/>
      <c r="D1326" s="82"/>
      <c r="E1326" s="83"/>
      <c r="F1326" s="84"/>
      <c r="G1326" s="84"/>
      <c r="H1326" s="83"/>
      <c r="I1326" s="83"/>
      <c r="J1326" s="84"/>
      <c r="K1326" s="84"/>
      <c r="L1326" s="84"/>
      <c r="M1326" s="84"/>
      <c r="N1326" s="85"/>
      <c r="O1326" s="86"/>
      <c r="P1326" s="97"/>
      <c r="Q1326" s="91"/>
      <c r="R1326" s="91"/>
      <c r="S1326" s="29"/>
      <c r="T1326" s="29"/>
      <c r="U1326" s="29"/>
      <c r="V1326" s="29"/>
      <c r="W1326" s="29"/>
      <c r="X1326" s="29"/>
      <c r="Y1326" s="29"/>
      <c r="Z1326" s="29"/>
      <c r="AA1326" s="29"/>
      <c r="AB1326" s="29"/>
      <c r="AC1326" s="29"/>
      <c r="AD1326" s="29"/>
      <c r="AE1326" s="29"/>
      <c r="AF1326" s="29"/>
      <c r="AG1326" s="29"/>
      <c r="AH1326" s="29"/>
      <c r="AI1326" s="29"/>
      <c r="AJ1326" s="29"/>
      <c r="AK1326" s="29"/>
    </row>
    <row r="1327" spans="2:37" ht="16.2" x14ac:dyDescent="0.3">
      <c r="B1327" s="80"/>
      <c r="C1327" s="81"/>
      <c r="D1327" s="82"/>
      <c r="E1327" s="83"/>
      <c r="F1327" s="84"/>
      <c r="G1327" s="84"/>
      <c r="H1327" s="83"/>
      <c r="I1327" s="83"/>
      <c r="J1327" s="84"/>
      <c r="K1327" s="84"/>
      <c r="L1327" s="84"/>
      <c r="M1327" s="84"/>
      <c r="N1327" s="85"/>
      <c r="O1327" s="86"/>
      <c r="P1327" s="97"/>
      <c r="Q1327" s="91"/>
      <c r="R1327" s="91"/>
      <c r="S1327" s="29"/>
      <c r="T1327" s="29"/>
      <c r="U1327" s="29"/>
      <c r="V1327" s="29"/>
      <c r="W1327" s="29"/>
      <c r="X1327" s="29"/>
      <c r="Y1327" s="29"/>
      <c r="Z1327" s="29"/>
      <c r="AA1327" s="29"/>
      <c r="AB1327" s="29"/>
      <c r="AC1327" s="29"/>
      <c r="AD1327" s="29"/>
      <c r="AE1327" s="29"/>
      <c r="AF1327" s="29"/>
      <c r="AG1327" s="29"/>
      <c r="AH1327" s="29"/>
      <c r="AI1327" s="29"/>
      <c r="AJ1327" s="29"/>
      <c r="AK1327" s="29"/>
    </row>
    <row r="1328" spans="2:37" ht="16.2" x14ac:dyDescent="0.3">
      <c r="B1328" s="80"/>
      <c r="C1328" s="81"/>
      <c r="D1328" s="82"/>
      <c r="E1328" s="83"/>
      <c r="F1328" s="84"/>
      <c r="G1328" s="84"/>
      <c r="H1328" s="83"/>
      <c r="I1328" s="83"/>
      <c r="J1328" s="84"/>
      <c r="K1328" s="84"/>
      <c r="L1328" s="84"/>
      <c r="M1328" s="84"/>
      <c r="N1328" s="85"/>
      <c r="O1328" s="86"/>
      <c r="P1328" s="97"/>
      <c r="Q1328" s="91"/>
      <c r="R1328" s="91"/>
      <c r="S1328" s="29"/>
      <c r="T1328" s="29"/>
      <c r="U1328" s="29"/>
      <c r="V1328" s="29"/>
      <c r="W1328" s="29"/>
      <c r="X1328" s="29"/>
      <c r="Y1328" s="29"/>
      <c r="Z1328" s="29"/>
      <c r="AA1328" s="29"/>
      <c r="AB1328" s="29"/>
      <c r="AC1328" s="29"/>
      <c r="AD1328" s="29"/>
      <c r="AE1328" s="29"/>
      <c r="AF1328" s="29"/>
      <c r="AG1328" s="29"/>
      <c r="AH1328" s="29"/>
      <c r="AI1328" s="29"/>
      <c r="AJ1328" s="29"/>
      <c r="AK1328" s="29"/>
    </row>
    <row r="1329" spans="2:37" ht="16.2" x14ac:dyDescent="0.3">
      <c r="B1329" s="80"/>
      <c r="C1329" s="81"/>
      <c r="D1329" s="82"/>
      <c r="E1329" s="83"/>
      <c r="F1329" s="84"/>
      <c r="G1329" s="84"/>
      <c r="H1329" s="83"/>
      <c r="I1329" s="83"/>
      <c r="J1329" s="84"/>
      <c r="K1329" s="84"/>
      <c r="L1329" s="84"/>
      <c r="M1329" s="84"/>
      <c r="N1329" s="85"/>
      <c r="O1329" s="86"/>
      <c r="P1329" s="97"/>
      <c r="Q1329" s="91"/>
      <c r="R1329" s="91"/>
      <c r="S1329" s="29"/>
      <c r="T1329" s="29"/>
      <c r="U1329" s="29"/>
      <c r="V1329" s="29"/>
      <c r="W1329" s="29"/>
      <c r="X1329" s="29"/>
      <c r="Y1329" s="29"/>
      <c r="Z1329" s="29"/>
      <c r="AA1329" s="29"/>
      <c r="AB1329" s="29"/>
      <c r="AC1329" s="29"/>
      <c r="AD1329" s="29"/>
      <c r="AE1329" s="29"/>
      <c r="AF1329" s="29"/>
      <c r="AG1329" s="29"/>
      <c r="AH1329" s="29"/>
      <c r="AI1329" s="29"/>
      <c r="AJ1329" s="29"/>
      <c r="AK1329" s="29"/>
    </row>
    <row r="1330" spans="2:37" ht="16.2" x14ac:dyDescent="0.3">
      <c r="B1330" s="80"/>
      <c r="C1330" s="81"/>
      <c r="D1330" s="82"/>
      <c r="E1330" s="83"/>
      <c r="F1330" s="84"/>
      <c r="G1330" s="84"/>
      <c r="H1330" s="83"/>
      <c r="I1330" s="83"/>
      <c r="J1330" s="84"/>
      <c r="K1330" s="84"/>
      <c r="L1330" s="84"/>
      <c r="M1330" s="84"/>
      <c r="N1330" s="85"/>
      <c r="O1330" s="86"/>
      <c r="P1330" s="97"/>
      <c r="Q1330" s="91"/>
      <c r="R1330" s="91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  <c r="AC1330" s="29"/>
      <c r="AD1330" s="29"/>
      <c r="AE1330" s="29"/>
      <c r="AF1330" s="29"/>
      <c r="AG1330" s="29"/>
      <c r="AH1330" s="29"/>
      <c r="AI1330" s="29"/>
      <c r="AJ1330" s="29"/>
      <c r="AK1330" s="29"/>
    </row>
    <row r="1331" spans="2:37" ht="16.2" x14ac:dyDescent="0.3">
      <c r="B1331" s="80"/>
      <c r="C1331" s="81"/>
      <c r="D1331" s="82"/>
      <c r="E1331" s="83"/>
      <c r="F1331" s="84"/>
      <c r="G1331" s="84"/>
      <c r="H1331" s="83"/>
      <c r="I1331" s="83"/>
      <c r="J1331" s="84"/>
      <c r="K1331" s="84"/>
      <c r="L1331" s="84"/>
      <c r="M1331" s="84"/>
      <c r="N1331" s="85"/>
      <c r="O1331" s="86"/>
      <c r="P1331" s="97"/>
      <c r="Q1331" s="91"/>
      <c r="R1331" s="91"/>
      <c r="S1331" s="29"/>
      <c r="T1331" s="29"/>
      <c r="U1331" s="29"/>
      <c r="V1331" s="29"/>
      <c r="W1331" s="29"/>
      <c r="X1331" s="29"/>
      <c r="Y1331" s="29"/>
      <c r="Z1331" s="29"/>
      <c r="AA1331" s="29"/>
      <c r="AB1331" s="29"/>
      <c r="AC1331" s="29"/>
      <c r="AD1331" s="29"/>
      <c r="AE1331" s="29"/>
      <c r="AF1331" s="29"/>
      <c r="AG1331" s="29"/>
      <c r="AH1331" s="29"/>
      <c r="AI1331" s="29"/>
      <c r="AJ1331" s="29"/>
      <c r="AK1331" s="29"/>
    </row>
    <row r="1332" spans="2:37" ht="16.2" x14ac:dyDescent="0.3">
      <c r="B1332" s="80"/>
      <c r="C1332" s="81"/>
      <c r="D1332" s="82"/>
      <c r="E1332" s="83"/>
      <c r="F1332" s="84"/>
      <c r="G1332" s="84"/>
      <c r="H1332" s="83"/>
      <c r="I1332" s="83"/>
      <c r="J1332" s="84"/>
      <c r="K1332" s="84"/>
      <c r="L1332" s="84"/>
      <c r="M1332" s="84"/>
      <c r="N1332" s="85"/>
      <c r="O1332" s="86"/>
      <c r="P1332" s="97"/>
      <c r="Q1332" s="91"/>
      <c r="R1332" s="91"/>
      <c r="S1332" s="29"/>
      <c r="T1332" s="29"/>
      <c r="U1332" s="29"/>
      <c r="V1332" s="29"/>
      <c r="W1332" s="29"/>
      <c r="X1332" s="29"/>
      <c r="Y1332" s="29"/>
      <c r="Z1332" s="29"/>
      <c r="AA1332" s="29"/>
      <c r="AB1332" s="29"/>
      <c r="AC1332" s="29"/>
      <c r="AD1332" s="29"/>
      <c r="AE1332" s="29"/>
      <c r="AF1332" s="29"/>
      <c r="AG1332" s="29"/>
      <c r="AH1332" s="29"/>
      <c r="AI1332" s="29"/>
      <c r="AJ1332" s="29"/>
      <c r="AK1332" s="29"/>
    </row>
    <row r="1333" spans="2:37" ht="16.2" x14ac:dyDescent="0.3">
      <c r="B1333" s="76"/>
      <c r="C1333" s="77"/>
      <c r="D1333" s="77"/>
      <c r="E1333" s="77"/>
      <c r="F1333" s="77"/>
      <c r="G1333" s="77"/>
      <c r="H1333" s="77"/>
      <c r="I1333" s="77"/>
      <c r="J1333" s="77"/>
      <c r="K1333" s="77"/>
      <c r="L1333" s="77"/>
      <c r="M1333" s="77"/>
      <c r="N1333" s="77"/>
      <c r="O1333" s="77"/>
      <c r="P1333" s="77"/>
      <c r="Q1333" s="77"/>
      <c r="R1333" s="78"/>
      <c r="S1333" s="29"/>
      <c r="T1333" s="29"/>
      <c r="U1333" s="29"/>
      <c r="V1333" s="29"/>
      <c r="W1333" s="29"/>
      <c r="X1333" s="29"/>
      <c r="Y1333" s="29"/>
      <c r="Z1333" s="29"/>
      <c r="AA1333" s="29"/>
      <c r="AB1333" s="29"/>
      <c r="AC1333" s="29"/>
      <c r="AD1333" s="29"/>
      <c r="AE1333" s="29"/>
      <c r="AF1333" s="29"/>
      <c r="AG1333" s="29"/>
      <c r="AH1333" s="29"/>
      <c r="AI1333" s="29"/>
      <c r="AJ1333" s="29"/>
      <c r="AK1333" s="29"/>
    </row>
    <row r="1334" spans="2:37" ht="18.600000000000001" thickBot="1" x14ac:dyDescent="0.35">
      <c r="C1334" s="73" t="s">
        <v>8</v>
      </c>
      <c r="D1334" s="74"/>
      <c r="E1334" s="27"/>
      <c r="F1334" s="27"/>
      <c r="G1334" s="27"/>
      <c r="H1334" s="27"/>
      <c r="I1334" s="27"/>
      <c r="J1334" s="71">
        <f>SUM(J9:J1333)</f>
        <v>56685.52</v>
      </c>
      <c r="K1334" s="117">
        <f>SUM(K9:K1229)</f>
        <v>1.1599999999999999</v>
      </c>
      <c r="L1334" s="28"/>
      <c r="M1334" s="27"/>
      <c r="N1334" s="26"/>
      <c r="O1334" s="25"/>
      <c r="P1334" s="24"/>
      <c r="Q1334" s="24"/>
      <c r="R1334" s="24"/>
    </row>
    <row r="1335" spans="2:37" ht="24" customHeight="1" x14ac:dyDescent="0.3">
      <c r="C1335" s="1"/>
      <c r="E1335" s="4"/>
      <c r="F1335" s="1"/>
      <c r="G1335" s="1"/>
      <c r="H1335" s="1"/>
      <c r="I1335" s="1"/>
      <c r="J1335" s="1"/>
      <c r="K1335" s="1"/>
      <c r="L1335" s="1"/>
      <c r="M1335" s="1"/>
      <c r="N1335" s="23"/>
      <c r="O1335" s="1"/>
      <c r="P1335" s="1"/>
      <c r="Q1335" s="1"/>
      <c r="R1335" s="1"/>
    </row>
    <row r="1336" spans="2:37" ht="16.2" thickBot="1" x14ac:dyDescent="0.35"/>
    <row r="1337" spans="2:37" ht="16.8" thickTop="1" thickBot="1" x14ac:dyDescent="0.35">
      <c r="C1337" s="9"/>
      <c r="D1337" s="12"/>
      <c r="E1337" s="11"/>
      <c r="F1337" s="9"/>
      <c r="G1337" s="9"/>
      <c r="H1337" s="9"/>
      <c r="I1337" s="9"/>
      <c r="J1337" s="21"/>
      <c r="K1337" s="20"/>
      <c r="L1337" s="9"/>
      <c r="M1337" s="9"/>
      <c r="N1337" s="8"/>
      <c r="O1337" s="7"/>
      <c r="P1337" s="7"/>
      <c r="Q1337" s="7"/>
      <c r="R1337" s="7"/>
    </row>
    <row r="1338" spans="2:37" ht="19.2" thickTop="1" thickBot="1" x14ac:dyDescent="0.4">
      <c r="B1338" s="22" t="s">
        <v>7</v>
      </c>
      <c r="C1338" s="16"/>
      <c r="D1338" s="18"/>
      <c r="E1338" s="17"/>
      <c r="F1338" s="16"/>
      <c r="G1338" s="16"/>
      <c r="H1338" s="16"/>
      <c r="I1338" s="16"/>
      <c r="J1338" s="16"/>
      <c r="K1338" s="16"/>
      <c r="L1338" s="16"/>
      <c r="M1338" s="16"/>
      <c r="N1338" s="15"/>
      <c r="O1338" s="14"/>
      <c r="P1338" s="14"/>
      <c r="Q1338" s="14"/>
      <c r="R1338" s="14"/>
    </row>
    <row r="1339" spans="2:37" ht="19.2" thickTop="1" thickBot="1" x14ac:dyDescent="0.4">
      <c r="B1339" s="19"/>
      <c r="C1339" s="9"/>
      <c r="D1339" s="12"/>
      <c r="E1339" s="11"/>
      <c r="F1339" s="9"/>
      <c r="G1339" s="9"/>
      <c r="H1339" s="9"/>
      <c r="I1339" s="9"/>
      <c r="J1339" s="10"/>
      <c r="K1339" s="10"/>
      <c r="L1339" s="9"/>
      <c r="M1339" s="9"/>
      <c r="N1339" s="8"/>
      <c r="O1339" s="7"/>
      <c r="P1339" s="7"/>
      <c r="Q1339" s="7"/>
      <c r="R1339" s="7"/>
    </row>
    <row r="1340" spans="2:37" ht="21.6" thickBot="1" x14ac:dyDescent="0.45">
      <c r="B1340" s="13">
        <f>SUBTOTAL(3,B9:B1333)</f>
        <v>1221</v>
      </c>
    </row>
    <row r="1342" spans="2:37" x14ac:dyDescent="0.3">
      <c r="O1342" s="3"/>
    </row>
    <row r="1343" spans="2:37" x14ac:dyDescent="0.3">
      <c r="O1343" s="3"/>
    </row>
    <row r="1478" spans="2:15" x14ac:dyDescent="0.3">
      <c r="O1478" s="3"/>
    </row>
    <row r="1479" spans="2:15" s="2" customFormat="1" x14ac:dyDescent="0.3">
      <c r="B1479" s="6"/>
      <c r="C1479" s="4"/>
      <c r="D1479" s="1"/>
      <c r="E1479" s="5"/>
      <c r="F1479" s="4"/>
      <c r="G1479" s="4"/>
      <c r="H1479" s="4"/>
      <c r="I1479" s="4"/>
      <c r="J1479" s="4"/>
      <c r="K1479" s="4"/>
      <c r="L1479" s="4"/>
      <c r="M1479" s="4"/>
      <c r="N1479" s="3"/>
    </row>
    <row r="1622" spans="2:15" x14ac:dyDescent="0.3">
      <c r="O1622" s="3"/>
    </row>
    <row r="1623" spans="2:15" s="2" customFormat="1" x14ac:dyDescent="0.3">
      <c r="B1623" s="6"/>
      <c r="C1623" s="4"/>
      <c r="D1623" s="1"/>
      <c r="E1623" s="5"/>
      <c r="F1623" s="4"/>
      <c r="G1623" s="4"/>
      <c r="H1623" s="4"/>
      <c r="I1623" s="4"/>
      <c r="J1623" s="4"/>
      <c r="K1623" s="4"/>
      <c r="L1623" s="4"/>
      <c r="M1623" s="4"/>
      <c r="N1623" s="3"/>
    </row>
  </sheetData>
  <sheetProtection selectLockedCells="1" selectUnlockedCells="1"/>
  <autoFilter ref="B6:B7" xr:uid="{92879FEC-D448-47E2-AC3C-E4A431A86DA2}"/>
  <mergeCells count="4">
    <mergeCell ref="J6:K6"/>
    <mergeCell ref="M6:N6"/>
    <mergeCell ref="C1334:D1334"/>
    <mergeCell ref="B1333:R1333"/>
  </mergeCells>
  <conditionalFormatting sqref="D9:D16">
    <cfRule type="containsText" dxfId="122" priority="180" operator="containsText" text="KAMWANYA  TSHIBELA ">
      <formula>NOT(ISERROR(SEARCH("KAMWANYA  TSHIBELA ",D9)))</formula>
    </cfRule>
    <cfRule type="duplicateValues" dxfId="121" priority="181"/>
  </conditionalFormatting>
  <conditionalFormatting sqref="D136">
    <cfRule type="containsText" dxfId="120" priority="107" operator="containsText" text="KAMWANYA  TSHIBELA ">
      <formula>NOT(ISERROR(SEARCH("KAMWANYA  TSHIBELA ",D136)))</formula>
    </cfRule>
    <cfRule type="duplicateValues" dxfId="119" priority="108"/>
  </conditionalFormatting>
  <conditionalFormatting sqref="D528:D529">
    <cfRule type="containsText" dxfId="118" priority="87" operator="containsText" text="KAMWANYA  TSHIBELA ">
      <formula>NOT(ISERROR(SEARCH("KAMWANYA  TSHIBELA ",D528)))</formula>
    </cfRule>
    <cfRule type="duplicateValues" dxfId="117" priority="88"/>
  </conditionalFormatting>
  <conditionalFormatting sqref="D541:D551">
    <cfRule type="containsText" dxfId="116" priority="77" operator="containsText" text="KAMWANYA  TSHIBELA ">
      <formula>NOT(ISERROR(SEARCH("KAMWANYA  TSHIBELA ",D541)))</formula>
    </cfRule>
    <cfRule type="duplicateValues" dxfId="115" priority="78"/>
  </conditionalFormatting>
  <conditionalFormatting sqref="D877">
    <cfRule type="containsText" dxfId="114" priority="57" operator="containsText" text="KAMWANYA  TSHIBELA ">
      <formula>NOT(ISERROR(SEARCH("KAMWANYA  TSHIBELA ",D877)))</formula>
    </cfRule>
    <cfRule type="duplicateValues" dxfId="113" priority="58"/>
  </conditionalFormatting>
  <conditionalFormatting sqref="D937:D938">
    <cfRule type="containsText" dxfId="112" priority="46" operator="containsText" text="KAMWANYA  TSHIBELA ">
      <formula>NOT(ISERROR(SEARCH("KAMWANYA  TSHIBELA ",D937)))</formula>
    </cfRule>
    <cfRule type="duplicateValues" dxfId="111" priority="47"/>
  </conditionalFormatting>
  <conditionalFormatting sqref="D945">
    <cfRule type="containsText" dxfId="110" priority="36" operator="containsText" text="KAMWANYA  TSHIBELA ">
      <formula>NOT(ISERROR(SEARCH("KAMWANYA  TSHIBELA ",D945)))</formula>
    </cfRule>
    <cfRule type="duplicateValues" dxfId="109" priority="37"/>
  </conditionalFormatting>
  <conditionalFormatting sqref="D984">
    <cfRule type="containsText" dxfId="108" priority="25" operator="containsText" text="KAMWANYA  TSHIBELA ">
      <formula>NOT(ISERROR(SEARCH("KAMWANYA  TSHIBELA ",D984)))</formula>
    </cfRule>
    <cfRule type="duplicateValues" dxfId="107" priority="26"/>
  </conditionalFormatting>
  <conditionalFormatting sqref="E9:E16">
    <cfRule type="duplicateValues" dxfId="106" priority="182"/>
  </conditionalFormatting>
  <conditionalFormatting sqref="E10:E16">
    <cfRule type="duplicateValues" dxfId="105" priority="183"/>
  </conditionalFormatting>
  <conditionalFormatting sqref="E22:E29 E31:E78 E323:E330">
    <cfRule type="duplicateValues" dxfId="104" priority="193"/>
  </conditionalFormatting>
  <conditionalFormatting sqref="E79:E117">
    <cfRule type="duplicateValues" dxfId="103" priority="110"/>
  </conditionalFormatting>
  <conditionalFormatting sqref="E118:E183">
    <cfRule type="duplicateValues" dxfId="102" priority="109"/>
  </conditionalFormatting>
  <conditionalFormatting sqref="E136">
    <cfRule type="duplicateValues" dxfId="101" priority="104"/>
    <cfRule type="duplicateValues" dxfId="100" priority="105"/>
    <cfRule type="duplicateValues" dxfId="99" priority="106"/>
  </conditionalFormatting>
  <conditionalFormatting sqref="E184:E213">
    <cfRule type="duplicateValues" dxfId="98" priority="98"/>
  </conditionalFormatting>
  <conditionalFormatting sqref="E214:E283">
    <cfRule type="duplicateValues" dxfId="97" priority="97"/>
  </conditionalFormatting>
  <conditionalFormatting sqref="E284:E316">
    <cfRule type="duplicateValues" dxfId="96" priority="96"/>
  </conditionalFormatting>
  <conditionalFormatting sqref="E317:E322">
    <cfRule type="duplicateValues" dxfId="95" priority="95"/>
  </conditionalFormatting>
  <conditionalFormatting sqref="E331:E340">
    <cfRule type="duplicateValues" dxfId="94" priority="94"/>
  </conditionalFormatting>
  <conditionalFormatting sqref="E341:E347">
    <cfRule type="duplicateValues" dxfId="93" priority="92"/>
  </conditionalFormatting>
  <conditionalFormatting sqref="E348:E394">
    <cfRule type="duplicateValues" dxfId="92" priority="93"/>
  </conditionalFormatting>
  <conditionalFormatting sqref="E395:E399">
    <cfRule type="duplicateValues" dxfId="91" priority="91"/>
  </conditionalFormatting>
  <conditionalFormatting sqref="E400:E494">
    <cfRule type="duplicateValues" dxfId="90" priority="192"/>
  </conditionalFormatting>
  <conditionalFormatting sqref="E495:E553">
    <cfRule type="duplicateValues" dxfId="89" priority="89"/>
  </conditionalFormatting>
  <conditionalFormatting sqref="E528:E529">
    <cfRule type="duplicateValues" dxfId="88" priority="84"/>
    <cfRule type="duplicateValues" dxfId="87" priority="85"/>
    <cfRule type="duplicateValues" dxfId="86" priority="86"/>
  </conditionalFormatting>
  <conditionalFormatting sqref="E541:E551">
    <cfRule type="duplicateValues" dxfId="85" priority="76"/>
  </conditionalFormatting>
  <conditionalFormatting sqref="E542:E551">
    <cfRule type="duplicateValues" dxfId="84" priority="74"/>
    <cfRule type="duplicateValues" dxfId="83" priority="75"/>
  </conditionalFormatting>
  <conditionalFormatting sqref="E554:E582">
    <cfRule type="duplicateValues" dxfId="82" priority="64"/>
  </conditionalFormatting>
  <conditionalFormatting sqref="E583:E633">
    <cfRule type="duplicateValues" dxfId="81" priority="63"/>
  </conditionalFormatting>
  <conditionalFormatting sqref="E634:E683">
    <cfRule type="duplicateValues" dxfId="80" priority="62"/>
  </conditionalFormatting>
  <conditionalFormatting sqref="E684:E739">
    <cfRule type="duplicateValues" dxfId="79" priority="61"/>
  </conditionalFormatting>
  <conditionalFormatting sqref="E740:E782">
    <cfRule type="duplicateValues" dxfId="78" priority="60"/>
  </conditionalFormatting>
  <conditionalFormatting sqref="E783:E909">
    <cfRule type="duplicateValues" dxfId="77" priority="59"/>
  </conditionalFormatting>
  <conditionalFormatting sqref="E877">
    <cfRule type="duplicateValues" dxfId="76" priority="54"/>
    <cfRule type="duplicateValues" dxfId="75" priority="55"/>
    <cfRule type="duplicateValues" dxfId="74" priority="56"/>
  </conditionalFormatting>
  <conditionalFormatting sqref="E910:E964">
    <cfRule type="duplicateValues" dxfId="73" priority="48"/>
  </conditionalFormatting>
  <conditionalFormatting sqref="E937:E938">
    <cfRule type="duplicateValues" dxfId="72" priority="43"/>
    <cfRule type="duplicateValues" dxfId="71" priority="44"/>
    <cfRule type="duplicateValues" dxfId="70" priority="45"/>
  </conditionalFormatting>
  <conditionalFormatting sqref="E945">
    <cfRule type="duplicateValues" dxfId="69" priority="33"/>
    <cfRule type="duplicateValues" dxfId="68" priority="34"/>
    <cfRule type="duplicateValues" dxfId="67" priority="35"/>
  </conditionalFormatting>
  <conditionalFormatting sqref="E965:E993 E1230:E1332">
    <cfRule type="duplicateValues" dxfId="66" priority="27"/>
  </conditionalFormatting>
  <conditionalFormatting sqref="E984">
    <cfRule type="duplicateValues" dxfId="65" priority="22"/>
    <cfRule type="duplicateValues" dxfId="64" priority="23"/>
    <cfRule type="duplicateValues" dxfId="63" priority="24"/>
  </conditionalFormatting>
  <conditionalFormatting sqref="F10:F16">
    <cfRule type="duplicateValues" dxfId="62" priority="184"/>
  </conditionalFormatting>
  <conditionalFormatting sqref="F136">
    <cfRule type="duplicateValues" dxfId="61" priority="102"/>
    <cfRule type="duplicateValues" dxfId="60" priority="103"/>
  </conditionalFormatting>
  <conditionalFormatting sqref="F528:F529">
    <cfRule type="duplicateValues" dxfId="59" priority="82"/>
    <cfRule type="duplicateValues" dxfId="58" priority="83"/>
  </conditionalFormatting>
  <conditionalFormatting sqref="F542:F551">
    <cfRule type="duplicateValues" dxfId="57" priority="72"/>
    <cfRule type="duplicateValues" dxfId="56" priority="73"/>
  </conditionalFormatting>
  <conditionalFormatting sqref="F877">
    <cfRule type="duplicateValues" dxfId="55" priority="52"/>
    <cfRule type="duplicateValues" dxfId="54" priority="53"/>
  </conditionalFormatting>
  <conditionalFormatting sqref="F937:F938">
    <cfRule type="duplicateValues" dxfId="53" priority="41"/>
    <cfRule type="duplicateValues" dxfId="52" priority="42"/>
  </conditionalFormatting>
  <conditionalFormatting sqref="F945">
    <cfRule type="duplicateValues" dxfId="51" priority="31"/>
    <cfRule type="duplicateValues" dxfId="50" priority="32"/>
  </conditionalFormatting>
  <conditionalFormatting sqref="F984">
    <cfRule type="duplicateValues" dxfId="49" priority="20"/>
    <cfRule type="duplicateValues" dxfId="48" priority="21"/>
  </conditionalFormatting>
  <conditionalFormatting sqref="M9">
    <cfRule type="duplicateValues" dxfId="47" priority="176"/>
    <cfRule type="duplicateValues" dxfId="46" priority="177"/>
    <cfRule type="duplicateValues" dxfId="45" priority="178"/>
    <cfRule type="duplicateValues" dxfId="44" priority="179"/>
  </conditionalFormatting>
  <conditionalFormatting sqref="M18:M19 M10:M16">
    <cfRule type="duplicateValues" dxfId="43" priority="185"/>
    <cfRule type="duplicateValues" dxfId="42" priority="186"/>
    <cfRule type="duplicateValues" dxfId="41" priority="187"/>
  </conditionalFormatting>
  <conditionalFormatting sqref="M136">
    <cfRule type="duplicateValues" dxfId="40" priority="99"/>
    <cfRule type="duplicateValues" dxfId="39" priority="100"/>
    <cfRule type="duplicateValues" dxfId="38" priority="101"/>
  </conditionalFormatting>
  <conditionalFormatting sqref="M528:M529">
    <cfRule type="duplicateValues" dxfId="37" priority="79"/>
    <cfRule type="duplicateValues" dxfId="36" priority="80"/>
    <cfRule type="duplicateValues" dxfId="35" priority="81"/>
  </conditionalFormatting>
  <conditionalFormatting sqref="M541">
    <cfRule type="duplicateValues" dxfId="34" priority="68"/>
    <cfRule type="duplicateValues" dxfId="33" priority="69"/>
    <cfRule type="duplicateValues" dxfId="32" priority="70"/>
    <cfRule type="duplicateValues" dxfId="31" priority="71"/>
  </conditionalFormatting>
  <conditionalFormatting sqref="M542:M551">
    <cfRule type="duplicateValues" dxfId="30" priority="65"/>
    <cfRule type="duplicateValues" dxfId="29" priority="66"/>
    <cfRule type="duplicateValues" dxfId="28" priority="67"/>
  </conditionalFormatting>
  <conditionalFormatting sqref="M877">
    <cfRule type="duplicateValues" dxfId="27" priority="49"/>
    <cfRule type="duplicateValues" dxfId="26" priority="50"/>
    <cfRule type="duplicateValues" dxfId="25" priority="51"/>
  </conditionalFormatting>
  <conditionalFormatting sqref="M937:M938">
    <cfRule type="duplicateValues" dxfId="24" priority="38"/>
    <cfRule type="duplicateValues" dxfId="23" priority="39"/>
    <cfRule type="duplicateValues" dxfId="22" priority="40"/>
  </conditionalFormatting>
  <conditionalFormatting sqref="M945">
    <cfRule type="duplicateValues" dxfId="21" priority="28"/>
    <cfRule type="duplicateValues" dxfId="20" priority="29"/>
    <cfRule type="duplicateValues" dxfId="19" priority="30"/>
  </conditionalFormatting>
  <conditionalFormatting sqref="M984">
    <cfRule type="duplicateValues" dxfId="18" priority="17"/>
    <cfRule type="duplicateValues" dxfId="17" priority="18"/>
    <cfRule type="duplicateValues" dxfId="16" priority="19"/>
  </conditionalFormatting>
  <conditionalFormatting sqref="E994:E999">
    <cfRule type="duplicateValues" dxfId="15" priority="16"/>
  </conditionalFormatting>
  <conditionalFormatting sqref="E1000">
    <cfRule type="duplicateValues" dxfId="14" priority="15"/>
  </conditionalFormatting>
  <conditionalFormatting sqref="D1008">
    <cfRule type="containsText" dxfId="13" priority="12" operator="containsText" text="KAMWANYA  TSHIBELA ">
      <formula>NOT(ISERROR(SEARCH("KAMWANYA  TSHIBELA ",D1008)))</formula>
    </cfRule>
    <cfRule type="duplicateValues" dxfId="12" priority="13"/>
  </conditionalFormatting>
  <conditionalFormatting sqref="E1008">
    <cfRule type="duplicateValues" dxfId="11" priority="11"/>
  </conditionalFormatting>
  <conditionalFormatting sqref="E1008">
    <cfRule type="duplicateValues" dxfId="10" priority="9"/>
  </conditionalFormatting>
  <conditionalFormatting sqref="E1008">
    <cfRule type="duplicateValues" dxfId="9" priority="10"/>
  </conditionalFormatting>
  <conditionalFormatting sqref="F1008">
    <cfRule type="duplicateValues" dxfId="8" priority="7"/>
  </conditionalFormatting>
  <conditionalFormatting sqref="F1008">
    <cfRule type="duplicateValues" dxfId="7" priority="8"/>
  </conditionalFormatting>
  <conditionalFormatting sqref="M1008">
    <cfRule type="duplicateValues" dxfId="6" priority="4"/>
    <cfRule type="duplicateValues" dxfId="5" priority="5"/>
  </conditionalFormatting>
  <conditionalFormatting sqref="M1008">
    <cfRule type="duplicateValues" dxfId="4" priority="6"/>
  </conditionalFormatting>
  <conditionalFormatting sqref="E1001:E1043">
    <cfRule type="duplicateValues" dxfId="3" priority="14"/>
  </conditionalFormatting>
  <conditionalFormatting sqref="E1044:E1062">
    <cfRule type="duplicateValues" dxfId="2" priority="3"/>
  </conditionalFormatting>
  <conditionalFormatting sqref="E1063:E1185">
    <cfRule type="duplicateValues" dxfId="1" priority="2"/>
  </conditionalFormatting>
  <conditionalFormatting sqref="E1186:E1229">
    <cfRule type="duplicateValues" dxfId="0" priority="1"/>
  </conditionalFormatting>
  <dataValidations count="7">
    <dataValidation type="list" allowBlank="1" showInputMessage="1" showErrorMessage="1" sqref="L45:L47 L53 H53 H45:H47 H57:H71 L57:L71 H317:H322 H80:H135 L97:L135 L317:L322 L80:L95 H174:H256 L174:L256 L967 H967 G1075:G1082" xr:uid="{5534DD28-4B82-44A7-809A-8E894DD64775}"/>
    <dataValidation type="list" allowBlank="1" showInputMessage="1" showErrorMessage="1" sqref="J9:J16 J541:J551 J136 J528:J529 J945 J877 J937:J938 I984:J984 I1008:J1008" xr:uid="{A509F517-3007-45E9-A5A9-068DD13B7525}">
      <formula1>ListNomInscr2024</formula1>
    </dataValidation>
    <dataValidation type="list" allowBlank="1" showInputMessage="1" showErrorMessage="1" sqref="L54:L56 L31:L44 L72:L79 L48:L52 L9:L29 L136:L145 L147 L528:L531 L474 L541:L606 L620:L622 L609:L618 L937:L938 L945 L877 L897 L792:L793 L783 L785 L798 L800 L807:L808 L820 L802:L804 L920:L921 L965 L984 L1018:L1021 L1050 L1008 L1072" xr:uid="{AFB548FC-DDAE-4A11-922D-A8BA2C0FD3A4}">
      <formula1>ListMois</formula1>
    </dataValidation>
    <dataValidation type="list" allowBlank="1" showInputMessage="1" showErrorMessage="1" sqref="H9:H16 G9:G14 G136:H136 G541:H551 G528:H529 H877 G945:H945 G937:H938 G984:H984 G1008:H1008" xr:uid="{245E52CE-4AAA-46AC-9674-5D33FF0BCAFB}">
      <formula1>ListCateg2023</formula1>
    </dataValidation>
    <dataValidation type="list" allowBlank="1" showInputMessage="1" showErrorMessage="1" sqref="F9:F16 F541:F551 F136 F528:F529 F945 F877 F937:F938 F984 F1008" xr:uid="{7A858C3F-3D44-412B-B700-6FF5FACF3493}">
      <formula1>Litqtr</formula1>
    </dataValidation>
    <dataValidation type="list" allowBlank="1" showInputMessage="1" showErrorMessage="1" sqref="I9:I19 I528:I529 I136 I541:I551 I945 I877 I802 I937:I938 K984 K1008" xr:uid="{853DE330-1145-44E0-B319-6D2BEB428B24}">
      <formula1>ListNom</formula1>
    </dataValidation>
    <dataValidation type="list" allowBlank="1" showInputMessage="1" showErrorMessage="1" sqref="M9:M19 M541:M551 M528:M529 M136 M877 M937:M938 M945 M984 M1008" xr:uid="{BFA05C14-8071-4E66-BF4D-150F4C9C02EE}">
      <formula1>Litds</formula1>
    </dataValidation>
  </dataValidations>
  <pageMargins left="0.7" right="0.7" top="0.75" bottom="0.75" header="0.3" footer="0.3"/>
  <pageSetup paperSize="9" scale="3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5</vt:i4>
      </vt:variant>
    </vt:vector>
  </HeadingPairs>
  <TitlesOfParts>
    <vt:vector size="6" baseType="lpstr">
      <vt:lpstr>BDFIP2526 (2)</vt:lpstr>
      <vt:lpstr>'BDFIP2526 (2)'!ListBD</vt:lpstr>
      <vt:lpstr>'BDFIP2526 (2)'!Lsection1</vt:lpstr>
      <vt:lpstr>'BDFIP2526 (2)'!LstDtBdFr</vt:lpstr>
      <vt:lpstr>'BDFIP2526 (2)'!LstMAT2</vt:lpstr>
      <vt:lpstr>'BDFIP2526 (2)'!LSTNmPYFR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BJ2K</dc:creator>
  <cp:lastModifiedBy>elie kalala</cp:lastModifiedBy>
  <cp:lastPrinted>2025-11-24T09:20:12Z</cp:lastPrinted>
  <dcterms:created xsi:type="dcterms:W3CDTF">2015-06-05T18:19:34Z</dcterms:created>
  <dcterms:modified xsi:type="dcterms:W3CDTF">2025-12-07T01:34:32Z</dcterms:modified>
</cp:coreProperties>
</file>